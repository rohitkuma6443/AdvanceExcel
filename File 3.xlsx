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A10B3B8-0F76-46F0-8172-AC96529650C6}" xr6:coauthVersionLast="47" xr6:coauthVersionMax="47" xr10:uidLastSave="{00000000-0000-0000-0000-000000000000}"/>
  <bookViews>
    <workbookView xWindow="-120" yWindow="-120" windowWidth="21840" windowHeight="13140" xr2:uid="{6C0B838D-1FBF-4BA3-92D6-2140DC27AE41}"/>
  </bookViews>
  <sheets>
    <sheet name="Ma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  <c r="D15" i="1"/>
  <c r="P3" i="1" a="1"/>
  <c r="P3" i="1" s="1"/>
  <c r="P4" i="1" a="1"/>
  <c r="P4" i="1"/>
  <c r="P5" i="1" a="1"/>
  <c r="P5" i="1" s="1"/>
  <c r="P6" i="1" a="1"/>
  <c r="P6" i="1"/>
  <c r="P7" i="1" a="1"/>
  <c r="P7" i="1" s="1"/>
  <c r="P8" i="1" a="1"/>
  <c r="P8" i="1"/>
  <c r="P9" i="1" a="1"/>
  <c r="P9" i="1" s="1"/>
  <c r="P10" i="1" a="1"/>
  <c r="P10" i="1"/>
  <c r="P2" i="1" a="1"/>
  <c r="P2" i="1" s="1"/>
  <c r="O3" i="1" a="1"/>
  <c r="O3" i="1" s="1"/>
  <c r="O4" i="1" a="1"/>
  <c r="O4" i="1"/>
  <c r="O5" i="1" a="1"/>
  <c r="O5" i="1" s="1"/>
  <c r="O6" i="1" a="1"/>
  <c r="O6" i="1"/>
  <c r="O7" i="1" a="1"/>
  <c r="O7" i="1" s="1"/>
  <c r="O8" i="1" a="1"/>
  <c r="O8" i="1"/>
  <c r="O9" i="1" a="1"/>
  <c r="O9" i="1" s="1"/>
  <c r="O10" i="1" a="1"/>
  <c r="O10" i="1"/>
  <c r="O2" i="1" a="1"/>
  <c r="O2" i="1" s="1"/>
  <c r="N4" i="1"/>
  <c r="N8" i="1"/>
  <c r="M3" i="1"/>
  <c r="M5" i="1"/>
  <c r="M6" i="1"/>
  <c r="M7" i="1"/>
  <c r="M8" i="1"/>
  <c r="M9" i="1"/>
  <c r="M10" i="1"/>
  <c r="M2" i="1"/>
  <c r="L3" i="1"/>
  <c r="L5" i="1"/>
  <c r="L6" i="1"/>
  <c r="L7" i="1"/>
  <c r="L8" i="1"/>
  <c r="L9" i="1"/>
  <c r="L10" i="1"/>
  <c r="L2" i="1"/>
  <c r="K3" i="1"/>
  <c r="K4" i="1"/>
  <c r="M4" i="1" s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2" i="1"/>
  <c r="H3" i="1"/>
  <c r="H4" i="1"/>
  <c r="H5" i="1"/>
  <c r="H6" i="1"/>
  <c r="H7" i="1"/>
  <c r="H8" i="1"/>
  <c r="H9" i="1"/>
  <c r="H10" i="1"/>
  <c r="H2" i="1"/>
  <c r="G3" i="1"/>
  <c r="G4" i="1"/>
  <c r="N5" i="1" s="1"/>
  <c r="G5" i="1"/>
  <c r="G6" i="1"/>
  <c r="G7" i="1"/>
  <c r="G8" i="1"/>
  <c r="G9" i="1"/>
  <c r="G10" i="1"/>
  <c r="G2" i="1"/>
  <c r="H15" i="1"/>
  <c r="L13" i="1"/>
  <c r="K13" i="1"/>
  <c r="J13" i="1"/>
  <c r="I13" i="1"/>
  <c r="H13" i="1"/>
  <c r="N2" i="1" l="1"/>
  <c r="N7" i="1"/>
  <c r="N3" i="1"/>
  <c r="L4" i="1"/>
  <c r="N10" i="1"/>
  <c r="N6" i="1"/>
  <c r="N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<sst xmlns="http://schemas.openxmlformats.org/spreadsheetml/2006/main" count="98" uniqueCount="52">
  <si>
    <t>Name</t>
  </si>
  <si>
    <t>Sub 1</t>
  </si>
  <si>
    <t>Sub 2</t>
  </si>
  <si>
    <t>Sub 3</t>
  </si>
  <si>
    <t>Sub 4</t>
  </si>
  <si>
    <t>Sub 5</t>
  </si>
  <si>
    <t>Total</t>
  </si>
  <si>
    <t>Control + T</t>
  </si>
  <si>
    <t>Table</t>
  </si>
  <si>
    <t>Name 8</t>
  </si>
  <si>
    <t>Control + L</t>
  </si>
  <si>
    <t>Name 1</t>
  </si>
  <si>
    <t>Name 5</t>
  </si>
  <si>
    <t>Name 3</t>
  </si>
  <si>
    <t>select Row</t>
  </si>
  <si>
    <t>Shift + Space</t>
  </si>
  <si>
    <t>Column</t>
  </si>
  <si>
    <t>control + Space</t>
  </si>
  <si>
    <t>Name 6</t>
  </si>
  <si>
    <t>Insert Row/Col/Cell</t>
  </si>
  <si>
    <t>Control +</t>
  </si>
  <si>
    <t>Delete Row/Col/Cell</t>
  </si>
  <si>
    <t>Control -</t>
  </si>
  <si>
    <t xml:space="preserve">Insert Sheet </t>
  </si>
  <si>
    <t>Shift + F11</t>
  </si>
  <si>
    <t>Hide Row</t>
  </si>
  <si>
    <t>Control + 9</t>
  </si>
  <si>
    <t>Show Row</t>
  </si>
  <si>
    <t>Control + Shift + 9</t>
  </si>
  <si>
    <t>Hide Column</t>
  </si>
  <si>
    <t>Control + 0</t>
  </si>
  <si>
    <t>Min</t>
  </si>
  <si>
    <t>Max</t>
  </si>
  <si>
    <t>Count</t>
  </si>
  <si>
    <t>Average</t>
  </si>
  <si>
    <t>If</t>
  </si>
  <si>
    <t>Nested IF</t>
  </si>
  <si>
    <t>Formula Text</t>
  </si>
  <si>
    <t>Reward</t>
  </si>
  <si>
    <t>Salary</t>
  </si>
  <si>
    <t>Name 2</t>
  </si>
  <si>
    <t>Name 4</t>
  </si>
  <si>
    <t>And</t>
  </si>
  <si>
    <t>Or</t>
  </si>
  <si>
    <t>T</t>
  </si>
  <si>
    <t>Statement 1</t>
  </si>
  <si>
    <t>Statement 2</t>
  </si>
  <si>
    <t>Result</t>
  </si>
  <si>
    <t>F</t>
  </si>
  <si>
    <t>NOT</t>
  </si>
  <si>
    <t>Days</t>
  </si>
  <si>
    <t>IF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</si>
</sst>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2" fillId="3" borderId="1" xfId="2" applyBorder="1" applyAlignment="1">
      <alignment horizontal="center" vertical="center"/>
    </xf>
    <xf numFmtId="0" fontId="1" fillId="2" borderId="1" xfId="1" applyBorder="1"/>
    <xf numFmtId="0" fontId="3" fillId="0" borderId="1" xfId="0" applyFont="1" applyBorder="1"/>
    <xf numFmtId="0" fontId="2" fillId="3" borderId="2" xfId="2" applyBorder="1" applyAlignment="1">
      <alignment horizontal="center" vertical="center"/>
    </xf>
    <xf numFmtId="0" fontId="2" fillId="3" borderId="0" xfId="2" applyBorder="1" applyAlignment="1">
      <alignment horizontal="center" vertic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1" fillId="2" borderId="3" xfId="1" applyBorder="1"/>
    <xf numFmtId="0" fontId="1" fillId="0" borderId="3" xfId="1" applyFill="1" applyBorder="1"/>
    <xf numFmtId="0" fontId="0" fillId="0" borderId="3" xfId="0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796E-16B9-4C9C-9D30-00C0A65FD89C}">
  <dimension ref="A1:S30"/>
  <sheetViews>
    <sheetView tabSelected="1" zoomScale="145" zoomScaleNormal="145" workbookViewId="0">
      <selection activeCell="E10" sqref="E10:E11"/>
    </sheetView>
  </sheetViews>
  <sheetFormatPr defaultColWidth="9.140625" defaultRowHeight="15" x14ac:dyDescent="0.25"/>
  <cols>
    <col min="1" max="2" width="11.140625" bestFit="1" customWidth="1"/>
    <col min="3" max="3" width="6.42578125" bestFit="1" customWidth="1"/>
    <col min="4" max="4" width="8.5703125" customWidth="1"/>
    <col min="5" max="6" width="11.140625" bestFit="1" customWidth="1"/>
    <col min="7" max="7" width="12.28515625" bestFit="1" customWidth="1"/>
    <col min="8" max="9" width="5.7109375" customWidth="1"/>
    <col min="10" max="10" width="11.140625" customWidth="1"/>
    <col min="11" max="11" width="10.85546875" customWidth="1"/>
    <col min="12" max="12" width="6.85546875" customWidth="1"/>
    <col min="13" max="14" width="9.140625" customWidth="1"/>
    <col min="18" max="18" width="18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31</v>
      </c>
      <c r="I1" s="4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38</v>
      </c>
      <c r="O1" s="5" t="s">
        <v>42</v>
      </c>
      <c r="P1" s="5" t="s">
        <v>43</v>
      </c>
      <c r="R1" t="s">
        <v>7</v>
      </c>
      <c r="S1" t="s">
        <v>8</v>
      </c>
    </row>
    <row r="2" spans="1:19" x14ac:dyDescent="0.25">
      <c r="A2" s="2" t="s">
        <v>9</v>
      </c>
      <c r="B2" s="3">
        <v>78</v>
      </c>
      <c r="C2" s="3">
        <v>45</v>
      </c>
      <c r="D2" s="3">
        <v>56</v>
      </c>
      <c r="E2" s="3">
        <v>45</v>
      </c>
      <c r="F2" s="3">
        <v>90</v>
      </c>
      <c r="G2" s="3">
        <f>SUM(B2:F2)</f>
        <v>314</v>
      </c>
      <c r="H2">
        <f>MIN(B2:F2)</f>
        <v>45</v>
      </c>
      <c r="I2">
        <f>MAX(B2:F2)</f>
        <v>90</v>
      </c>
      <c r="J2">
        <f>COUNT(B2:F2)</f>
        <v>5</v>
      </c>
      <c r="K2" s="6">
        <f>AVERAGE(B2:F2)</f>
        <v>62.8</v>
      </c>
      <c r="L2" t="str">
        <f>IF(K2&gt;35,"Pass","Fail")</f>
        <v>Pass</v>
      </c>
      <c r="M2" t="str">
        <f>IF(K2&gt;60,"1st",IF(K2&gt;50,"2nd",IF(K2&gt;40,"3rd",IF(K2&gt;35,"Pass","Fail"))))</f>
        <v>1st</v>
      </c>
      <c r="N2">
        <f>IF(MAX($G$2:$G$10)=G2,1000,0)</f>
        <v>0</v>
      </c>
      <c r="O2" t="str" cm="1">
        <f t="array" ref="O2">IF(AND(B2:F2&gt;35),"Pass","Fail")</f>
        <v>Pass</v>
      </c>
      <c r="P2" t="str" cm="1">
        <f t="array" ref="P2">IF(OR(B2:F2&gt;35),"Pass","Fail")</f>
        <v>Pass</v>
      </c>
      <c r="R2" t="s">
        <v>10</v>
      </c>
      <c r="S2" t="s">
        <v>8</v>
      </c>
    </row>
    <row r="3" spans="1:19" x14ac:dyDescent="0.25">
      <c r="A3" s="2" t="s">
        <v>11</v>
      </c>
      <c r="B3" s="3">
        <v>90</v>
      </c>
      <c r="C3" s="3">
        <v>54</v>
      </c>
      <c r="D3" s="3">
        <v>79</v>
      </c>
      <c r="E3" s="3">
        <v>62</v>
      </c>
      <c r="F3" s="3">
        <v>87</v>
      </c>
      <c r="G3" s="3">
        <f t="shared" ref="G3:G10" si="0">SUM(B3:F3)</f>
        <v>372</v>
      </c>
      <c r="H3">
        <f t="shared" ref="H3:H10" si="1">MIN(B3:F3)</f>
        <v>54</v>
      </c>
      <c r="I3">
        <f t="shared" ref="I3:I10" si="2">MAX(B3:F3)</f>
        <v>90</v>
      </c>
      <c r="J3">
        <f t="shared" ref="J3:J10" si="3">COUNT(B3:F3)</f>
        <v>5</v>
      </c>
      <c r="K3" s="6">
        <f t="shared" ref="K3:K10" si="4">AVERAGE(B3:F3)</f>
        <v>74.400000000000006</v>
      </c>
      <c r="L3" t="str">
        <f t="shared" ref="L3:L10" si="5">IF(K3&gt;35,"Pass","Fail")</f>
        <v>Pass</v>
      </c>
      <c r="M3" t="str">
        <f t="shared" ref="M3:M10" si="6">IF(K3&gt;60,"1st",IF(K3&gt;50,"2nd",IF(K3&gt;40,"3rd",IF(K3&gt;35,"Pass","Fail"))))</f>
        <v>1st</v>
      </c>
      <c r="N3">
        <f t="shared" ref="N3:N10" si="7">IF(MAX($G$2:$G$10)=G3,1000,0)</f>
        <v>1000</v>
      </c>
      <c r="O3" t="str" cm="1">
        <f t="array" ref="O3">IF(AND(B3:F3&gt;35),"Pass","Fail")</f>
        <v>Pass</v>
      </c>
      <c r="P3" t="str" cm="1">
        <f t="array" ref="P3">IF(OR(B3:F3&gt;35),"Pass","Fail")</f>
        <v>Pass</v>
      </c>
    </row>
    <row r="4" spans="1:19" x14ac:dyDescent="0.25">
      <c r="A4" s="2" t="s">
        <v>12</v>
      </c>
      <c r="B4" s="3">
        <v>94</v>
      </c>
      <c r="C4" s="3">
        <v>36</v>
      </c>
      <c r="D4" s="3">
        <v>55</v>
      </c>
      <c r="E4" s="3">
        <v>65</v>
      </c>
      <c r="F4" s="3">
        <v>86</v>
      </c>
      <c r="G4" s="3">
        <f t="shared" si="0"/>
        <v>336</v>
      </c>
      <c r="H4">
        <f t="shared" si="1"/>
        <v>36</v>
      </c>
      <c r="I4">
        <f t="shared" si="2"/>
        <v>94</v>
      </c>
      <c r="J4">
        <f t="shared" si="3"/>
        <v>5</v>
      </c>
      <c r="K4" s="6">
        <f t="shared" si="4"/>
        <v>67.2</v>
      </c>
      <c r="L4" t="str">
        <f t="shared" si="5"/>
        <v>Pass</v>
      </c>
      <c r="M4" t="str">
        <f t="shared" si="6"/>
        <v>1st</v>
      </c>
      <c r="N4">
        <f t="shared" si="7"/>
        <v>0</v>
      </c>
      <c r="O4" t="str" cm="1">
        <f t="array" ref="O4">IF(AND(B4:F4&gt;35),"Pass","Fail")</f>
        <v>Pass</v>
      </c>
      <c r="P4" t="str" cm="1">
        <f t="array" ref="P4">IF(OR(B4:F4&gt;35),"Pass","Fail")</f>
        <v>Pass</v>
      </c>
    </row>
    <row r="5" spans="1:19" x14ac:dyDescent="0.25">
      <c r="A5" s="2" t="s">
        <v>13</v>
      </c>
      <c r="B5" s="3">
        <v>86</v>
      </c>
      <c r="C5" s="3">
        <v>56</v>
      </c>
      <c r="D5" s="3">
        <v>90</v>
      </c>
      <c r="E5" s="3">
        <v>47</v>
      </c>
      <c r="F5" s="3">
        <v>14</v>
      </c>
      <c r="G5" s="3">
        <f t="shared" si="0"/>
        <v>293</v>
      </c>
      <c r="H5">
        <f t="shared" si="1"/>
        <v>14</v>
      </c>
      <c r="I5">
        <f t="shared" si="2"/>
        <v>90</v>
      </c>
      <c r="J5">
        <f t="shared" si="3"/>
        <v>5</v>
      </c>
      <c r="K5" s="6">
        <f t="shared" si="4"/>
        <v>58.6</v>
      </c>
      <c r="L5" t="str">
        <f t="shared" si="5"/>
        <v>Pass</v>
      </c>
      <c r="M5" t="str">
        <f t="shared" si="6"/>
        <v>2nd</v>
      </c>
      <c r="N5">
        <f t="shared" si="7"/>
        <v>0</v>
      </c>
      <c r="O5" t="str" cm="1">
        <f t="array" ref="O5">IF(AND(B5:F5&gt;35),"Pass","Fail")</f>
        <v>Fail</v>
      </c>
      <c r="P5" t="str" cm="1">
        <f t="array" ref="P5">IF(OR(B5:F5&gt;35),"Pass","Fail")</f>
        <v>Pass</v>
      </c>
      <c r="R5" t="s">
        <v>14</v>
      </c>
      <c r="S5" t="s">
        <v>15</v>
      </c>
    </row>
    <row r="6" spans="1:19" x14ac:dyDescent="0.25">
      <c r="A6" s="2" t="s">
        <v>11</v>
      </c>
      <c r="B6" s="3">
        <v>22</v>
      </c>
      <c r="C6" s="3">
        <v>79</v>
      </c>
      <c r="D6" s="3">
        <v>95</v>
      </c>
      <c r="E6" s="3">
        <v>16</v>
      </c>
      <c r="F6" s="3">
        <v>43</v>
      </c>
      <c r="G6" s="3">
        <f t="shared" si="0"/>
        <v>255</v>
      </c>
      <c r="H6">
        <f t="shared" si="1"/>
        <v>16</v>
      </c>
      <c r="I6">
        <f t="shared" si="2"/>
        <v>95</v>
      </c>
      <c r="J6">
        <f t="shared" si="3"/>
        <v>5</v>
      </c>
      <c r="K6" s="6">
        <f t="shared" si="4"/>
        <v>51</v>
      </c>
      <c r="L6" t="str">
        <f t="shared" si="5"/>
        <v>Pass</v>
      </c>
      <c r="M6" t="str">
        <f t="shared" si="6"/>
        <v>2nd</v>
      </c>
      <c r="N6">
        <f t="shared" si="7"/>
        <v>0</v>
      </c>
      <c r="O6" t="str" cm="1">
        <f t="array" ref="O6">IF(AND(B6:F6&gt;35),"Pass","Fail")</f>
        <v>Fail</v>
      </c>
      <c r="P6" t="str" cm="1">
        <f t="array" ref="P6">IF(OR(B6:F6&gt;35),"Pass","Fail")</f>
        <v>Pass</v>
      </c>
      <c r="R6" t="s">
        <v>16</v>
      </c>
      <c r="S6" t="s">
        <v>17</v>
      </c>
    </row>
    <row r="7" spans="1:19" x14ac:dyDescent="0.25">
      <c r="A7" s="2" t="s">
        <v>11</v>
      </c>
      <c r="B7" s="3">
        <v>81</v>
      </c>
      <c r="C7" s="3">
        <v>12</v>
      </c>
      <c r="D7" s="3">
        <v>95</v>
      </c>
      <c r="E7" s="3">
        <v>17</v>
      </c>
      <c r="F7" s="3">
        <v>2</v>
      </c>
      <c r="G7" s="3">
        <f t="shared" si="0"/>
        <v>207</v>
      </c>
      <c r="H7">
        <f t="shared" si="1"/>
        <v>2</v>
      </c>
      <c r="I7">
        <f t="shared" si="2"/>
        <v>95</v>
      </c>
      <c r="J7">
        <f t="shared" si="3"/>
        <v>5</v>
      </c>
      <c r="K7" s="6">
        <f t="shared" si="4"/>
        <v>41.4</v>
      </c>
      <c r="L7" t="str">
        <f t="shared" si="5"/>
        <v>Pass</v>
      </c>
      <c r="M7" t="str">
        <f t="shared" si="6"/>
        <v>3rd</v>
      </c>
      <c r="N7">
        <f t="shared" si="7"/>
        <v>0</v>
      </c>
      <c r="O7" t="str" cm="1">
        <f t="array" ref="O7">IF(AND(B7:F7&gt;35),"Pass","Fail")</f>
        <v>Fail</v>
      </c>
      <c r="P7" t="str" cm="1">
        <f t="array" ref="P7">IF(OR(B7:F7&gt;35),"Pass","Fail")</f>
        <v>Pass</v>
      </c>
    </row>
    <row r="8" spans="1:19" x14ac:dyDescent="0.25">
      <c r="A8" s="2" t="s">
        <v>18</v>
      </c>
      <c r="B8" s="3">
        <v>16</v>
      </c>
      <c r="C8" s="3">
        <v>73</v>
      </c>
      <c r="D8" s="3">
        <v>7</v>
      </c>
      <c r="E8" s="3">
        <v>27</v>
      </c>
      <c r="F8" s="3">
        <v>81</v>
      </c>
      <c r="G8" s="3">
        <f t="shared" si="0"/>
        <v>204</v>
      </c>
      <c r="H8">
        <f t="shared" si="1"/>
        <v>7</v>
      </c>
      <c r="I8">
        <f t="shared" si="2"/>
        <v>81</v>
      </c>
      <c r="J8">
        <f t="shared" si="3"/>
        <v>5</v>
      </c>
      <c r="K8" s="6">
        <f t="shared" si="4"/>
        <v>40.799999999999997</v>
      </c>
      <c r="L8" t="str">
        <f t="shared" si="5"/>
        <v>Pass</v>
      </c>
      <c r="M8" t="str">
        <f t="shared" si="6"/>
        <v>3rd</v>
      </c>
      <c r="N8">
        <f t="shared" si="7"/>
        <v>0</v>
      </c>
      <c r="O8" t="str" cm="1">
        <f t="array" ref="O8">IF(AND(B8:F8&gt;35),"Pass","Fail")</f>
        <v>Fail</v>
      </c>
      <c r="P8" t="str" cm="1">
        <f t="array" ref="P8">IF(OR(B8:F8&gt;35),"Pass","Fail")</f>
        <v>Pass</v>
      </c>
      <c r="R8" t="s">
        <v>19</v>
      </c>
      <c r="S8" t="s">
        <v>20</v>
      </c>
    </row>
    <row r="9" spans="1:19" x14ac:dyDescent="0.25">
      <c r="A9" s="2" t="s">
        <v>13</v>
      </c>
      <c r="B9" s="3">
        <v>66</v>
      </c>
      <c r="C9" s="3">
        <v>42</v>
      </c>
      <c r="D9" s="3">
        <v>74</v>
      </c>
      <c r="E9" s="3">
        <v>41</v>
      </c>
      <c r="F9" s="3">
        <v>14</v>
      </c>
      <c r="G9" s="3">
        <f t="shared" si="0"/>
        <v>237</v>
      </c>
      <c r="H9">
        <f t="shared" si="1"/>
        <v>14</v>
      </c>
      <c r="I9">
        <f t="shared" si="2"/>
        <v>74</v>
      </c>
      <c r="J9">
        <f t="shared" si="3"/>
        <v>5</v>
      </c>
      <c r="K9" s="6">
        <f t="shared" si="4"/>
        <v>47.4</v>
      </c>
      <c r="L9" t="str">
        <f t="shared" si="5"/>
        <v>Pass</v>
      </c>
      <c r="M9" t="str">
        <f t="shared" si="6"/>
        <v>3rd</v>
      </c>
      <c r="N9">
        <f t="shared" si="7"/>
        <v>0</v>
      </c>
      <c r="O9" t="str" cm="1">
        <f t="array" ref="O9">IF(AND(B9:F9&gt;35),"Pass","Fail")</f>
        <v>Fail</v>
      </c>
      <c r="P9" t="str" cm="1">
        <f t="array" ref="P9">IF(OR(B9:F9&gt;35),"Pass","Fail")</f>
        <v>Pass</v>
      </c>
      <c r="R9" t="s">
        <v>21</v>
      </c>
      <c r="S9" t="s">
        <v>22</v>
      </c>
    </row>
    <row r="10" spans="1:19" x14ac:dyDescent="0.25">
      <c r="A10" s="2" t="s">
        <v>13</v>
      </c>
      <c r="B10" s="3">
        <v>20</v>
      </c>
      <c r="C10" s="3">
        <v>18</v>
      </c>
      <c r="D10" s="3">
        <v>32</v>
      </c>
      <c r="E10" s="3">
        <v>20</v>
      </c>
      <c r="F10" s="3">
        <v>7</v>
      </c>
      <c r="G10" s="3">
        <f t="shared" si="0"/>
        <v>97</v>
      </c>
      <c r="H10">
        <f t="shared" si="1"/>
        <v>7</v>
      </c>
      <c r="I10">
        <f t="shared" si="2"/>
        <v>32</v>
      </c>
      <c r="J10">
        <f t="shared" si="3"/>
        <v>5</v>
      </c>
      <c r="K10" s="6">
        <f t="shared" si="4"/>
        <v>19.399999999999999</v>
      </c>
      <c r="L10" t="str">
        <f t="shared" si="5"/>
        <v>Fail</v>
      </c>
      <c r="M10" t="str">
        <f t="shared" si="6"/>
        <v>Fail</v>
      </c>
      <c r="N10">
        <f t="shared" si="7"/>
        <v>0</v>
      </c>
      <c r="O10" t="str" cm="1">
        <f t="array" ref="O10">IF(AND(B10:F10&gt;35),"Pass","Fail")</f>
        <v>Fail</v>
      </c>
      <c r="P10" t="str" cm="1">
        <f t="array" ref="P10">IF(OR(B10:F10&gt;35),"Pass","Fail")</f>
        <v>Fail</v>
      </c>
    </row>
    <row r="11" spans="1:19" x14ac:dyDescent="0.25">
      <c r="R11" t="s">
        <v>23</v>
      </c>
      <c r="S11" t="s">
        <v>24</v>
      </c>
    </row>
    <row r="13" spans="1:19" x14ac:dyDescent="0.25">
      <c r="G13" s="4" t="s">
        <v>37</v>
      </c>
      <c r="H13" t="str">
        <f ca="1">_xlfn.FORMULATEXT(H10)</f>
        <v>=MIN(B10:F10)</v>
      </c>
      <c r="I13" t="str">
        <f ca="1">_xlfn.FORMULATEXT(I10)</f>
        <v>=MAX(B10:F10)</v>
      </c>
      <c r="J13" t="str">
        <f ca="1">_xlfn.FORMULATEXT(J10)</f>
        <v>=COUNT(B10:F10)</v>
      </c>
      <c r="K13" t="str">
        <f ca="1">_xlfn.FORMULATEXT(K10)</f>
        <v>=AVERAGE(B10:F10)</v>
      </c>
      <c r="L13" t="str">
        <f ca="1">_xlfn.FORMULATEXT(L10)</f>
        <v>=IF(K10&gt;35,"Pass","Fail")</v>
      </c>
      <c r="R13" t="s">
        <v>25</v>
      </c>
      <c r="S13" t="s">
        <v>26</v>
      </c>
    </row>
    <row r="14" spans="1:19" x14ac:dyDescent="0.25">
      <c r="A14" s="1" t="s">
        <v>0</v>
      </c>
      <c r="B14" t="s">
        <v>39</v>
      </c>
      <c r="C14" t="s">
        <v>50</v>
      </c>
      <c r="D14" t="s">
        <v>51</v>
      </c>
      <c r="R14" t="s">
        <v>27</v>
      </c>
      <c r="S14" t="s">
        <v>28</v>
      </c>
    </row>
    <row r="15" spans="1:19" x14ac:dyDescent="0.25">
      <c r="A15" s="2" t="s">
        <v>9</v>
      </c>
      <c r="B15">
        <v>14000</v>
      </c>
      <c r="C15">
        <v>90</v>
      </c>
      <c r="D15">
        <f>IF(OR(B15&lt;20000,C15&gt;100),B15,B15/2)</f>
        <v>14000</v>
      </c>
      <c r="H15" t="str">
        <f ca="1">_xlfn.FORMULATEXT(M10)</f>
        <v>=IF(K10&gt;60,"1st",IF(K10&gt;50,"2nd",IF(K10&gt;40,"3rd",IF(K10&gt;35,"Pass","Fail"))))</v>
      </c>
      <c r="R15" t="s">
        <v>29</v>
      </c>
      <c r="S15" t="s">
        <v>30</v>
      </c>
    </row>
    <row r="16" spans="1:19" x14ac:dyDescent="0.25">
      <c r="A16" s="2" t="s">
        <v>41</v>
      </c>
      <c r="B16">
        <v>15000</v>
      </c>
      <c r="C16">
        <v>120</v>
      </c>
      <c r="D16">
        <f t="shared" ref="D16:D23" si="8">IF(OR(B16&lt;20000,C16&gt;100),B16,B16/2)</f>
        <v>15000</v>
      </c>
    </row>
    <row r="17" spans="1:11" x14ac:dyDescent="0.25">
      <c r="A17" s="2" t="s">
        <v>12</v>
      </c>
      <c r="B17">
        <v>50000</v>
      </c>
      <c r="C17">
        <v>124</v>
      </c>
      <c r="D17">
        <f t="shared" si="8"/>
        <v>50000</v>
      </c>
    </row>
    <row r="18" spans="1:11" x14ac:dyDescent="0.25">
      <c r="A18" s="2" t="s">
        <v>13</v>
      </c>
      <c r="B18">
        <v>40500</v>
      </c>
      <c r="C18">
        <v>150</v>
      </c>
      <c r="D18">
        <f t="shared" si="8"/>
        <v>40500</v>
      </c>
    </row>
    <row r="19" spans="1:11" x14ac:dyDescent="0.25">
      <c r="A19" s="2" t="s">
        <v>11</v>
      </c>
      <c r="B19">
        <v>35000</v>
      </c>
      <c r="C19">
        <v>60</v>
      </c>
      <c r="D19">
        <f t="shared" si="8"/>
        <v>17500</v>
      </c>
    </row>
    <row r="20" spans="1:11" x14ac:dyDescent="0.25">
      <c r="A20" s="2" t="s">
        <v>40</v>
      </c>
      <c r="B20">
        <v>70100</v>
      </c>
      <c r="C20">
        <v>45</v>
      </c>
      <c r="D20">
        <f t="shared" si="8"/>
        <v>35050</v>
      </c>
    </row>
    <row r="21" spans="1:11" ht="14.25" customHeight="1" x14ac:dyDescent="0.25">
      <c r="A21" s="2" t="s">
        <v>18</v>
      </c>
      <c r="B21">
        <v>20000</v>
      </c>
      <c r="C21">
        <v>80</v>
      </c>
      <c r="D21">
        <f t="shared" si="8"/>
        <v>10000</v>
      </c>
    </row>
    <row r="22" spans="1:11" hidden="1" x14ac:dyDescent="0.25">
      <c r="A22" s="2" t="s">
        <v>13</v>
      </c>
      <c r="D22">
        <f t="shared" si="8"/>
        <v>0</v>
      </c>
    </row>
    <row r="23" spans="1:11" x14ac:dyDescent="0.25">
      <c r="A23" s="2" t="s">
        <v>13</v>
      </c>
      <c r="B23">
        <v>25000</v>
      </c>
      <c r="C23">
        <v>120</v>
      </c>
      <c r="D23">
        <f t="shared" si="8"/>
        <v>25000</v>
      </c>
    </row>
    <row r="25" spans="1:11" x14ac:dyDescent="0.25">
      <c r="A25" s="7" t="s">
        <v>42</v>
      </c>
      <c r="B25" s="7"/>
      <c r="C25" s="7"/>
      <c r="E25" s="7" t="s">
        <v>43</v>
      </c>
      <c r="F25" s="7"/>
      <c r="G25" s="7"/>
      <c r="J25" s="7" t="s">
        <v>49</v>
      </c>
      <c r="K25" s="7"/>
    </row>
    <row r="26" spans="1:11" x14ac:dyDescent="0.25">
      <c r="A26" s="8" t="s">
        <v>45</v>
      </c>
      <c r="B26" s="8" t="s">
        <v>46</v>
      </c>
      <c r="C26" s="8" t="s">
        <v>47</v>
      </c>
      <c r="E26" s="8" t="s">
        <v>45</v>
      </c>
      <c r="F26" s="8" t="s">
        <v>46</v>
      </c>
      <c r="G26" s="8" t="s">
        <v>47</v>
      </c>
      <c r="J26" s="8" t="s">
        <v>45</v>
      </c>
      <c r="K26" s="8" t="s">
        <v>47</v>
      </c>
    </row>
    <row r="27" spans="1:11" x14ac:dyDescent="0.25">
      <c r="A27" s="9" t="s">
        <v>44</v>
      </c>
      <c r="B27" s="10" t="s">
        <v>44</v>
      </c>
      <c r="C27" s="10" t="s">
        <v>44</v>
      </c>
      <c r="E27" s="9" t="s">
        <v>44</v>
      </c>
      <c r="F27" s="10" t="s">
        <v>44</v>
      </c>
      <c r="G27" s="10" t="s">
        <v>44</v>
      </c>
      <c r="J27" s="9" t="s">
        <v>44</v>
      </c>
      <c r="K27" s="10" t="s">
        <v>48</v>
      </c>
    </row>
    <row r="28" spans="1:11" x14ac:dyDescent="0.25">
      <c r="A28" s="10" t="s">
        <v>44</v>
      </c>
      <c r="B28" s="10" t="s">
        <v>48</v>
      </c>
      <c r="C28" s="10" t="s">
        <v>48</v>
      </c>
      <c r="E28" s="10" t="s">
        <v>44</v>
      </c>
      <c r="F28" s="10" t="s">
        <v>48</v>
      </c>
      <c r="G28" s="10" t="s">
        <v>44</v>
      </c>
      <c r="J28" s="10" t="s">
        <v>48</v>
      </c>
      <c r="K28" s="10" t="s">
        <v>44</v>
      </c>
    </row>
    <row r="29" spans="1:11" x14ac:dyDescent="0.25">
      <c r="A29" s="10" t="s">
        <v>48</v>
      </c>
      <c r="B29" s="10" t="s">
        <v>44</v>
      </c>
      <c r="C29" s="10" t="s">
        <v>48</v>
      </c>
      <c r="E29" s="10" t="s">
        <v>48</v>
      </c>
      <c r="F29" s="10" t="s">
        <v>44</v>
      </c>
      <c r="G29" s="10" t="s">
        <v>44</v>
      </c>
      <c r="J29" s="10"/>
      <c r="K29" s="10"/>
    </row>
    <row r="30" spans="1:11" x14ac:dyDescent="0.25">
      <c r="A30" s="10" t="s">
        <v>48</v>
      </c>
      <c r="B30" s="10" t="s">
        <v>48</v>
      </c>
      <c r="C30" s="10" t="s">
        <v>48</v>
      </c>
      <c r="E30" s="10" t="s">
        <v>48</v>
      </c>
      <c r="F30" s="10" t="s">
        <v>48</v>
      </c>
      <c r="G30" s="10" t="s">
        <v>48</v>
      </c>
      <c r="J30" s="10"/>
      <c r="K30" s="10"/>
    </row>
  </sheetData>
  <mergeCells count="3">
    <mergeCell ref="A25:C25"/>
    <mergeCell ref="E25:G25"/>
    <mergeCell ref="J25:K2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2026-04-17T04:59:35Z</dcterms:created>
  <dcterms:modified xsi:type="dcterms:W3CDTF">2026-04-17T05:57:40Z</dcterms:modified>
</cp:coreProperties>
</file>