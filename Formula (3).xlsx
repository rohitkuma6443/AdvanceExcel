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2788F5-8C9C-411E-8AEC-A8B5E37D6AB5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Logical Function" sheetId="1" r:id="rId1"/>
    <sheet name="Date &amp; Time -24" sheetId="2" r:id="rId2"/>
    <sheet name="Text Function" sheetId="3" r:id="rId3"/>
    <sheet name="Database Function If Functions" sheetId="5" r:id="rId4"/>
    <sheet name="Filter and Sort" sheetId="7" r:id="rId5"/>
    <sheet name="Lookup Function" sheetId="4" r:id="rId6"/>
    <sheet name="FINANCIAL" sheetId="6" r:id="rId7"/>
    <sheet name="Index Match" sheetId="8" r:id="rId8"/>
    <sheet name="Hw Sheet" sheetId="9" r:id="rId9"/>
    <sheet name="Sheet5" sheetId="10" r:id="rId10"/>
    <sheet name="Sheet1" sheetId="11" r:id="rId11"/>
    <sheet name="Homework" sheetId="12" r:id="rId12"/>
    <sheet name="Sheet3" sheetId="13" r:id="rId13"/>
    <sheet name="Sheet2" sheetId="14" r:id="rId14"/>
    <sheet name="Sheet4" sheetId="15" r:id="rId15"/>
    <sheet name="Sheet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QvajinpcOp/g/f3oNEsvbecMmDNo61EP7u0YFx8f2/0="/>
    </ext>
  </extLst>
</workbook>
</file>

<file path=xl/calcChain.xml><?xml version="1.0" encoding="utf-8"?>
<calcChain xmlns="http://schemas.openxmlformats.org/spreadsheetml/2006/main">
  <c r="B35" i="2" l="1"/>
  <c r="Q13" i="1"/>
  <c r="O13" i="1"/>
  <c r="Q17" i="1"/>
  <c r="M17" i="1"/>
  <c r="M13" i="1"/>
  <c r="AA4" i="1"/>
  <c r="AA3" i="1"/>
  <c r="AA2" i="1"/>
  <c r="B13" i="1"/>
  <c r="C13" i="1"/>
  <c r="D13" i="1"/>
  <c r="E13" i="1"/>
  <c r="F13" i="1"/>
  <c r="C15" i="1"/>
  <c r="D15" i="1"/>
  <c r="E15" i="1"/>
  <c r="F15" i="1"/>
  <c r="B15" i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/>
  <c r="P9" i="1" a="1"/>
  <c r="P9" i="1" s="1"/>
  <c r="P10" i="1" a="1"/>
  <c r="P10" i="1"/>
  <c r="P2" i="1" a="1"/>
  <c r="P2" i="1" s="1"/>
  <c r="O3" i="1" a="1"/>
  <c r="O3" i="1" s="1"/>
  <c r="O4" i="1" a="1"/>
  <c r="O4" i="1"/>
  <c r="O5" i="1" a="1"/>
  <c r="O5" i="1" s="1"/>
  <c r="O6" i="1" a="1"/>
  <c r="O6" i="1"/>
  <c r="O7" i="1" a="1"/>
  <c r="O7" i="1" s="1"/>
  <c r="O8" i="1" a="1"/>
  <c r="O8" i="1" s="1"/>
  <c r="O9" i="1" a="1"/>
  <c r="O9" i="1" s="1"/>
  <c r="O10" i="1" a="1"/>
  <c r="O10" i="1" s="1"/>
  <c r="O2" i="1" a="1"/>
  <c r="O2" i="1" s="1"/>
  <c r="O39" i="1"/>
  <c r="O40" i="1"/>
  <c r="O41" i="1"/>
  <c r="O38" i="1"/>
  <c r="M3" i="1"/>
  <c r="L6" i="1"/>
  <c r="K3" i="1"/>
  <c r="K4" i="1"/>
  <c r="K5" i="1"/>
  <c r="K6" i="1"/>
  <c r="K7" i="1"/>
  <c r="K8" i="1"/>
  <c r="K9" i="1"/>
  <c r="K10" i="1"/>
  <c r="K2" i="1"/>
  <c r="H3" i="1"/>
  <c r="N3" i="1" s="1" a="1"/>
  <c r="N3" i="1" s="1"/>
  <c r="I3" i="1"/>
  <c r="J3" i="1"/>
  <c r="H4" i="1"/>
  <c r="N4" i="1" s="1" a="1"/>
  <c r="N4" i="1" s="1"/>
  <c r="I4" i="1"/>
  <c r="J4" i="1"/>
  <c r="H5" i="1"/>
  <c r="M5" i="1" s="1"/>
  <c r="I5" i="1"/>
  <c r="J5" i="1"/>
  <c r="H6" i="1"/>
  <c r="N6" i="1" s="1" a="1"/>
  <c r="N6" i="1" s="1"/>
  <c r="I6" i="1"/>
  <c r="J6" i="1"/>
  <c r="H7" i="1"/>
  <c r="L7" i="1" s="1"/>
  <c r="I7" i="1"/>
  <c r="J7" i="1"/>
  <c r="H8" i="1"/>
  <c r="L8" i="1" s="1"/>
  <c r="I8" i="1"/>
  <c r="J8" i="1"/>
  <c r="H9" i="1"/>
  <c r="M9" i="1" s="1"/>
  <c r="I9" i="1"/>
  <c r="J9" i="1"/>
  <c r="H10" i="1"/>
  <c r="M10" i="1" s="1"/>
  <c r="I10" i="1"/>
  <c r="J10" i="1"/>
  <c r="J2" i="1"/>
  <c r="I2" i="1"/>
  <c r="H2" i="1"/>
  <c r="N2" i="1" s="1" a="1"/>
  <c r="N2" i="1" s="1"/>
  <c r="G3" i="1"/>
  <c r="G4" i="1"/>
  <c r="G5" i="1"/>
  <c r="G6" i="1"/>
  <c r="G7" i="1"/>
  <c r="G8" i="1"/>
  <c r="G9" i="1"/>
  <c r="O17" i="1" s="1"/>
  <c r="G10" i="1"/>
  <c r="G2" i="1"/>
  <c r="H3" i="10"/>
  <c r="H4" i="10"/>
  <c r="H5" i="10"/>
  <c r="H6" i="10"/>
  <c r="H7" i="10"/>
  <c r="H8" i="10"/>
  <c r="H9" i="10"/>
  <c r="O5" i="10"/>
  <c r="B18" i="5"/>
  <c r="J18" i="5"/>
  <c r="J14" i="5"/>
  <c r="F18" i="5"/>
  <c r="F14" i="5"/>
  <c r="B14" i="5"/>
  <c r="I24" i="2"/>
  <c r="I20" i="2"/>
  <c r="H20" i="2"/>
  <c r="F20" i="2"/>
  <c r="E20" i="2"/>
  <c r="B20" i="2"/>
  <c r="A20" i="2"/>
  <c r="I13" i="2"/>
  <c r="H13" i="2"/>
  <c r="F13" i="2"/>
  <c r="E13" i="2"/>
  <c r="B5" i="2"/>
  <c r="A5" i="2"/>
  <c r="C5" i="2" s="1"/>
  <c r="E31" i="3"/>
  <c r="C31" i="3"/>
  <c r="B31" i="3"/>
  <c r="D28" i="3"/>
  <c r="C28" i="3"/>
  <c r="B28" i="3"/>
  <c r="D41" i="3" a="1"/>
  <c r="D41" i="3" s="1"/>
  <c r="C41" i="3"/>
  <c r="B41" i="3" a="1"/>
  <c r="B41" i="3" s="1"/>
  <c r="E24" i="3"/>
  <c r="E25" i="3"/>
  <c r="D24" i="3"/>
  <c r="Q18" i="1"/>
  <c r="O18" i="1"/>
  <c r="M18" i="1"/>
  <c r="O14" i="1"/>
  <c r="Q14" i="1"/>
  <c r="M14" i="1"/>
  <c r="E21" i="2"/>
  <c r="H14" i="2"/>
  <c r="H21" i="2"/>
  <c r="I21" i="2"/>
  <c r="A21" i="2"/>
  <c r="B21" i="2"/>
  <c r="D25" i="3"/>
  <c r="F21" i="2"/>
  <c r="I14" i="2"/>
  <c r="Q7" i="1" l="1"/>
  <c r="Q3" i="1"/>
  <c r="H13" i="1"/>
  <c r="N8" i="1" a="1"/>
  <c r="N8" i="1" s="1"/>
  <c r="Q10" i="1"/>
  <c r="Q6" i="1"/>
  <c r="M8" i="1"/>
  <c r="N7" i="1" a="1"/>
  <c r="N7" i="1" s="1"/>
  <c r="Q9" i="1"/>
  <c r="Q5" i="1"/>
  <c r="H15" i="1"/>
  <c r="Q2" i="1"/>
  <c r="G13" i="1"/>
  <c r="M7" i="1"/>
  <c r="Q8" i="1"/>
  <c r="Q4" i="1"/>
  <c r="G15" i="1"/>
  <c r="M4" i="1"/>
  <c r="L2" i="1"/>
  <c r="L9" i="1"/>
  <c r="N5" i="1" a="1"/>
  <c r="N5" i="1" s="1"/>
  <c r="L10" i="1"/>
  <c r="L5" i="1"/>
  <c r="M2" i="1"/>
  <c r="N10" i="1" a="1"/>
  <c r="N10" i="1" s="1"/>
  <c r="L4" i="1"/>
  <c r="M6" i="1"/>
  <c r="N9" i="1" a="1"/>
  <c r="N9" i="1" s="1"/>
  <c r="L3" i="1"/>
  <c r="E5" i="2"/>
  <c r="D5" i="2"/>
  <c r="B35" i="3"/>
  <c r="B36" i="3"/>
  <c r="B37" i="3"/>
  <c r="B38" i="3"/>
  <c r="B34" i="3"/>
  <c r="F20" i="3"/>
  <c r="G20" i="3"/>
  <c r="E20" i="3"/>
  <c r="D20" i="3"/>
  <c r="D13" i="3"/>
  <c r="C13" i="3"/>
  <c r="B15" i="3"/>
  <c r="B13" i="3"/>
  <c r="E8" i="3"/>
  <c r="E6" i="3"/>
  <c r="C10" i="3"/>
  <c r="B10" i="3"/>
  <c r="C6" i="3"/>
  <c r="N6" i="7"/>
  <c r="H10" i="7"/>
  <c r="H9" i="7"/>
  <c r="B33" i="7" a="1"/>
  <c r="B33" i="7" s="1"/>
  <c r="B19" i="8"/>
  <c r="L21" i="8"/>
  <c r="H2" i="5"/>
  <c r="C19" i="6"/>
  <c r="C17" i="6"/>
  <c r="C15" i="6"/>
  <c r="C9" i="6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I15" i="6" s="1"/>
  <c r="G16" i="6"/>
  <c r="H16" i="6"/>
  <c r="G17" i="6"/>
  <c r="H17" i="6"/>
  <c r="H2" i="6"/>
  <c r="G2" i="6"/>
  <c r="C5" i="6"/>
  <c r="F47" i="4"/>
  <c r="O35" i="4"/>
  <c r="B36" i="4"/>
  <c r="H25" i="16"/>
  <c r="H24" i="16"/>
  <c r="H23" i="16"/>
  <c r="H22" i="16"/>
  <c r="H21" i="16"/>
  <c r="H20" i="16"/>
  <c r="H19" i="16"/>
  <c r="H18" i="16"/>
  <c r="B20" i="4"/>
  <c r="B16" i="4"/>
  <c r="U8" i="16"/>
  <c r="T8" i="16"/>
  <c r="S8" i="16"/>
  <c r="R8" i="16"/>
  <c r="Q8" i="16"/>
  <c r="P8" i="16"/>
  <c r="O8" i="16"/>
  <c r="N8" i="16"/>
  <c r="H9" i="16"/>
  <c r="H8" i="16"/>
  <c r="H7" i="16"/>
  <c r="H6" i="16"/>
  <c r="H5" i="16"/>
  <c r="H4" i="16"/>
  <c r="H3" i="16"/>
  <c r="H2" i="16"/>
  <c r="B6" i="3"/>
  <c r="E2" i="3"/>
  <c r="D2" i="3"/>
  <c r="C2" i="3"/>
  <c r="B2" i="3"/>
  <c r="D21" i="1"/>
  <c r="D22" i="1"/>
  <c r="D23" i="1"/>
  <c r="D24" i="1"/>
  <c r="D25" i="1"/>
  <c r="D26" i="1"/>
  <c r="D20" i="1"/>
  <c r="J10" i="13"/>
  <c r="J9" i="13"/>
  <c r="J8" i="13"/>
  <c r="J7" i="13"/>
  <c r="J6" i="13"/>
  <c r="J5" i="13"/>
  <c r="J4" i="13"/>
  <c r="J3" i="13"/>
  <c r="J2" i="13"/>
  <c r="F9" i="10"/>
  <c r="F8" i="10"/>
  <c r="F7" i="10"/>
  <c r="F6" i="10"/>
  <c r="F5" i="10"/>
  <c r="F4" i="10"/>
  <c r="F3" i="10"/>
  <c r="F2" i="10"/>
  <c r="H2" i="10" s="1"/>
  <c r="K18" i="8"/>
  <c r="K16" i="8"/>
  <c r="K15" i="8"/>
  <c r="H12" i="8"/>
  <c r="H11" i="8"/>
  <c r="H10" i="8"/>
  <c r="H9" i="8"/>
  <c r="H8" i="8"/>
  <c r="H7" i="8"/>
  <c r="H6" i="8"/>
  <c r="H5" i="8"/>
  <c r="H8" i="7"/>
  <c r="H7" i="7"/>
  <c r="H6" i="7"/>
  <c r="H5" i="7"/>
  <c r="H4" i="7"/>
  <c r="H3" i="7"/>
  <c r="H2" i="7"/>
  <c r="N20" i="6" a="1"/>
  <c r="N20" i="6" s="1"/>
  <c r="I17" i="6"/>
  <c r="I13" i="6"/>
  <c r="I11" i="6"/>
  <c r="P3" i="6"/>
  <c r="H11" i="5"/>
  <c r="H10" i="5"/>
  <c r="H9" i="5"/>
  <c r="H8" i="5"/>
  <c r="H7" i="5"/>
  <c r="H6" i="5"/>
  <c r="H5" i="5"/>
  <c r="H4" i="5"/>
  <c r="H3" i="5"/>
  <c r="H32" i="4"/>
  <c r="H31" i="4"/>
  <c r="B40" i="4" s="1" a="1"/>
  <c r="H30" i="4"/>
  <c r="H29" i="4"/>
  <c r="H28" i="4"/>
  <c r="H27" i="4"/>
  <c r="H26" i="4"/>
  <c r="H25" i="4"/>
  <c r="H10" i="4"/>
  <c r="H9" i="4"/>
  <c r="H8" i="4"/>
  <c r="H7" i="4"/>
  <c r="H6" i="4"/>
  <c r="H5" i="4"/>
  <c r="H4" i="4"/>
  <c r="H3" i="4"/>
  <c r="G21" i="3"/>
  <c r="F21" i="3"/>
  <c r="E21" i="3"/>
  <c r="D21" i="3"/>
  <c r="B21" i="3"/>
  <c r="B20" i="3"/>
  <c r="D16" i="3"/>
  <c r="C16" i="3"/>
  <c r="B16" i="3"/>
  <c r="C15" i="3"/>
  <c r="D15" i="3"/>
  <c r="B9" i="2"/>
  <c r="C13" i="2" s="1"/>
  <c r="C30" i="1"/>
  <c r="N21" i="1"/>
  <c r="N20" i="1"/>
  <c r="F14" i="2"/>
  <c r="C14" i="3"/>
  <c r="B14" i="2"/>
  <c r="C6" i="2"/>
  <c r="A6" i="2"/>
  <c r="F15" i="5"/>
  <c r="E14" i="2"/>
  <c r="B7" i="3"/>
  <c r="E9" i="3"/>
  <c r="J6" i="2"/>
  <c r="C3" i="3"/>
  <c r="B29" i="3"/>
  <c r="J19" i="5"/>
  <c r="B15" i="5"/>
  <c r="F19" i="5"/>
  <c r="D3" i="3"/>
  <c r="F6" i="2"/>
  <c r="B6" i="2"/>
  <c r="B20" i="8"/>
  <c r="D6" i="2"/>
  <c r="A14" i="2"/>
  <c r="D14" i="3"/>
  <c r="M15" i="5"/>
  <c r="C15" i="5"/>
  <c r="E3" i="3"/>
  <c r="C14" i="2"/>
  <c r="E6" i="2"/>
  <c r="C7" i="3"/>
  <c r="B14" i="3"/>
  <c r="I6" i="2"/>
  <c r="F25" i="3"/>
  <c r="H6" i="2"/>
  <c r="J15" i="5"/>
  <c r="C29" i="3"/>
  <c r="B32" i="7"/>
  <c r="B19" i="5"/>
  <c r="N1" i="4"/>
  <c r="G6" i="2"/>
  <c r="B11" i="7"/>
  <c r="B22" i="7"/>
  <c r="D29" i="3"/>
  <c r="E7" i="3"/>
  <c r="B3" i="3"/>
  <c r="A13" i="2" l="1"/>
  <c r="B13" i="2"/>
  <c r="F5" i="2"/>
  <c r="B13" i="7" a="1"/>
  <c r="B13" i="7" s="1"/>
  <c r="B23" i="7" a="1"/>
  <c r="B23" i="7" s="1"/>
  <c r="N3" i="7"/>
  <c r="I16" i="6"/>
  <c r="C6" i="6"/>
  <c r="C7" i="6" s="1"/>
  <c r="I3" i="6"/>
  <c r="I6" i="6"/>
  <c r="I8" i="6"/>
  <c r="I10" i="6"/>
  <c r="H18" i="6"/>
  <c r="I5" i="6"/>
  <c r="I7" i="6"/>
  <c r="I9" i="6"/>
  <c r="G18" i="6"/>
  <c r="I2" i="6"/>
  <c r="I4" i="6"/>
  <c r="I12" i="6"/>
  <c r="I14" i="6"/>
  <c r="B40" i="4"/>
  <c r="G40" i="4"/>
  <c r="C40" i="4"/>
  <c r="H40" i="4"/>
  <c r="D40" i="4"/>
  <c r="I40" i="4"/>
  <c r="E40" i="4"/>
  <c r="J40" i="4"/>
  <c r="F40" i="4"/>
  <c r="K2" i="4" a="1"/>
  <c r="K2" i="4" s="1"/>
  <c r="L20" i="4" s="1"/>
  <c r="I18" i="6" l="1"/>
  <c r="L16" i="4"/>
  <c r="G5" i="2"/>
  <c r="H5" i="2"/>
  <c r="I5" i="2"/>
  <c r="J5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<sst xmlns="http://schemas.openxmlformats.org/spreadsheetml/2006/main" count="1021" uniqueCount="343">
  <si>
    <t>Name</t>
  </si>
  <si>
    <t>Sub 1</t>
  </si>
  <si>
    <t>Sub 2</t>
  </si>
  <si>
    <t>Sub 3</t>
  </si>
  <si>
    <t>Sub 4</t>
  </si>
  <si>
    <t>Sub 5</t>
  </si>
  <si>
    <t>Total</t>
  </si>
  <si>
    <t>Average</t>
  </si>
  <si>
    <t>Max</t>
  </si>
  <si>
    <t>Min</t>
  </si>
  <si>
    <t>Count</t>
  </si>
  <si>
    <t>if</t>
  </si>
  <si>
    <t>Garde (Nested If)</t>
  </si>
  <si>
    <t>IFS</t>
  </si>
  <si>
    <t>And</t>
  </si>
  <si>
    <t>Or</t>
  </si>
  <si>
    <t>Rank</t>
  </si>
  <si>
    <t>Name 8</t>
  </si>
  <si>
    <t>Name 1</t>
  </si>
  <si>
    <t>Name 5</t>
  </si>
  <si>
    <t>Name 3</t>
  </si>
  <si>
    <t>Name 6</t>
  </si>
  <si>
    <t>kth</t>
  </si>
  <si>
    <t>Countif</t>
  </si>
  <si>
    <t>Sumif</t>
  </si>
  <si>
    <t>Averageif</t>
  </si>
  <si>
    <t>Small</t>
  </si>
  <si>
    <t>Condition 1</t>
  </si>
  <si>
    <t>Large</t>
  </si>
  <si>
    <t>Countifs</t>
  </si>
  <si>
    <t>Sumifs</t>
  </si>
  <si>
    <t>Averageifs</t>
  </si>
  <si>
    <t>Condition 2</t>
  </si>
  <si>
    <t>&gt;50</t>
  </si>
  <si>
    <t>Randbetween</t>
  </si>
  <si>
    <t>RandArray</t>
  </si>
  <si>
    <t>Iferror</t>
  </si>
  <si>
    <t>Employee</t>
  </si>
  <si>
    <t>Salary</t>
  </si>
  <si>
    <t>Working Days</t>
  </si>
  <si>
    <t>bonus</t>
  </si>
  <si>
    <t>Not</t>
  </si>
  <si>
    <t>Emp 1</t>
  </si>
  <si>
    <t>Emp 2</t>
  </si>
  <si>
    <t>Emp 3</t>
  </si>
  <si>
    <t>Emp 4</t>
  </si>
  <si>
    <t>Emp 5</t>
  </si>
  <si>
    <t>Emp 6</t>
  </si>
  <si>
    <t>Emp 7</t>
  </si>
  <si>
    <t>A</t>
  </si>
  <si>
    <t>Control + :</t>
  </si>
  <si>
    <t>Control + Shift +:</t>
  </si>
  <si>
    <t>Today</t>
  </si>
  <si>
    <t>Now</t>
  </si>
  <si>
    <t>Day</t>
  </si>
  <si>
    <t>Month</t>
  </si>
  <si>
    <t>Year</t>
  </si>
  <si>
    <t>Date</t>
  </si>
  <si>
    <t>Hour</t>
  </si>
  <si>
    <t>Minute</t>
  </si>
  <si>
    <t>Second</t>
  </si>
  <si>
    <t>Time</t>
  </si>
  <si>
    <t>Start Date</t>
  </si>
  <si>
    <t>End Date</t>
  </si>
  <si>
    <t>Number of Days</t>
  </si>
  <si>
    <t>Holiday</t>
  </si>
  <si>
    <t>Days</t>
  </si>
  <si>
    <t>Days360</t>
  </si>
  <si>
    <t>Datedif</t>
  </si>
  <si>
    <t>Workday</t>
  </si>
  <si>
    <t>Workday INTL</t>
  </si>
  <si>
    <t>Edate</t>
  </si>
  <si>
    <t>EoMonth</t>
  </si>
  <si>
    <t>Networkdays</t>
  </si>
  <si>
    <t>NetworkdaysINTL</t>
  </si>
  <si>
    <t>Date Value</t>
  </si>
  <si>
    <t>Yearfarc</t>
  </si>
  <si>
    <t>Weeknum</t>
  </si>
  <si>
    <t>Weekday</t>
  </si>
  <si>
    <t>DD</t>
  </si>
  <si>
    <t>02</t>
  </si>
  <si>
    <t>MM</t>
  </si>
  <si>
    <t>Text</t>
  </si>
  <si>
    <t>DDD</t>
  </si>
  <si>
    <t>Sun</t>
  </si>
  <si>
    <t>MMM</t>
  </si>
  <si>
    <t>Mar</t>
  </si>
  <si>
    <t>DDDD</t>
  </si>
  <si>
    <t>Sunday</t>
  </si>
  <si>
    <t>MMMM</t>
  </si>
  <si>
    <t>March</t>
  </si>
  <si>
    <t>YY</t>
  </si>
  <si>
    <t>YYYY</t>
  </si>
  <si>
    <t>Upper</t>
  </si>
  <si>
    <t>Lower</t>
  </si>
  <si>
    <t>Proper</t>
  </si>
  <si>
    <t>Len</t>
  </si>
  <si>
    <t>Find (Case Senstitive)</t>
  </si>
  <si>
    <t>Search</t>
  </si>
  <si>
    <t>Rept</t>
  </si>
  <si>
    <t>Rohit</t>
  </si>
  <si>
    <t>Exact (Case Senstitive)</t>
  </si>
  <si>
    <t>Direct (Not Case Senstitive)</t>
  </si>
  <si>
    <t>rohit</t>
  </si>
  <si>
    <t>Trim</t>
  </si>
  <si>
    <t>Subsititute (Case Senstitive)</t>
  </si>
  <si>
    <t>Replace</t>
  </si>
  <si>
    <t>Rohit       kumar       jha</t>
  </si>
  <si>
    <t>Clean</t>
  </si>
  <si>
    <t>Char</t>
  </si>
  <si>
    <t>Code</t>
  </si>
  <si>
    <t>UNICODE</t>
  </si>
  <si>
    <t>UNICHAR</t>
  </si>
  <si>
    <t>Rohit     
  kumar  
     jha</t>
  </si>
  <si>
    <t>Concat</t>
  </si>
  <si>
    <t>Text Join</t>
  </si>
  <si>
    <t>&amp;</t>
  </si>
  <si>
    <t>Jha</t>
  </si>
  <si>
    <t>Number</t>
  </si>
  <si>
    <t>Left</t>
  </si>
  <si>
    <t>Right</t>
  </si>
  <si>
    <t>Mid</t>
  </si>
  <si>
    <t>Vertical Data</t>
  </si>
  <si>
    <t>Horizontal Data</t>
  </si>
  <si>
    <t>Transpose</t>
  </si>
  <si>
    <t>Product ID</t>
  </si>
  <si>
    <t>Product Name</t>
  </si>
  <si>
    <t>Category</t>
  </si>
  <si>
    <t>Region</t>
  </si>
  <si>
    <t>Salesperson</t>
  </si>
  <si>
    <t>Units Sold</t>
  </si>
  <si>
    <t>Unit Price</t>
  </si>
  <si>
    <t>Sale Value</t>
  </si>
  <si>
    <t>P001</t>
  </si>
  <si>
    <t>P002</t>
  </si>
  <si>
    <t>P003</t>
  </si>
  <si>
    <t>P004</t>
  </si>
  <si>
    <t>P005</t>
  </si>
  <si>
    <t>P006</t>
  </si>
  <si>
    <t>P007</t>
  </si>
  <si>
    <t>P008</t>
  </si>
  <si>
    <t>Laptop</t>
  </si>
  <si>
    <t>Electronics</t>
  </si>
  <si>
    <t>North</t>
  </si>
  <si>
    <t>Alice</t>
  </si>
  <si>
    <t>January</t>
  </si>
  <si>
    <t>Mobile</t>
  </si>
  <si>
    <t>Chair</t>
  </si>
  <si>
    <t>Table</t>
  </si>
  <si>
    <t>Sofa</t>
  </si>
  <si>
    <t>South</t>
  </si>
  <si>
    <t>Bob</t>
  </si>
  <si>
    <t>Furniture</t>
  </si>
  <si>
    <t>East</t>
  </si>
  <si>
    <t>Charlie</t>
  </si>
  <si>
    <t>February</t>
  </si>
  <si>
    <t>West</t>
  </si>
  <si>
    <t>April</t>
  </si>
  <si>
    <t>May</t>
  </si>
  <si>
    <t>VLOOKUP</t>
  </si>
  <si>
    <t>HLOOKUP</t>
  </si>
  <si>
    <t>Lookup Value</t>
  </si>
  <si>
    <t>Result</t>
  </si>
  <si>
    <t>Xlookup</t>
  </si>
  <si>
    <t>Supplier</t>
  </si>
  <si>
    <t>City</t>
  </si>
  <si>
    <t>Supplier 1</t>
  </si>
  <si>
    <t>Supplier Name 1</t>
  </si>
  <si>
    <t>Mumbai</t>
  </si>
  <si>
    <t>Supplier 2</t>
  </si>
  <si>
    <t>Supplier Name 2</t>
  </si>
  <si>
    <t>Delhi</t>
  </si>
  <si>
    <t>Supplier 3</t>
  </si>
  <si>
    <t>Supplier Name 3</t>
  </si>
  <si>
    <t>Patna</t>
  </si>
  <si>
    <t>Vlookup with Match</t>
  </si>
  <si>
    <t>Vlookup With Array</t>
  </si>
  <si>
    <t>Tax</t>
  </si>
  <si>
    <t>ID</t>
  </si>
  <si>
    <t>Product</t>
  </si>
  <si>
    <t>Total Sales</t>
  </si>
  <si>
    <t>Printer</t>
  </si>
  <si>
    <t>Monitor</t>
  </si>
  <si>
    <t>David</t>
  </si>
  <si>
    <t>Dget</t>
  </si>
  <si>
    <t>Dcount</t>
  </si>
  <si>
    <t>Dmax</t>
  </si>
  <si>
    <t>Daverage</t>
  </si>
  <si>
    <t>Dsum</t>
  </si>
  <si>
    <t>DcountA</t>
  </si>
  <si>
    <t>Dmin</t>
  </si>
  <si>
    <t>Loan</t>
  </si>
  <si>
    <t>PV</t>
  </si>
  <si>
    <t>MONTH</t>
  </si>
  <si>
    <t>IPMT</t>
  </si>
  <si>
    <t>PPMT</t>
  </si>
  <si>
    <t>TOTAL</t>
  </si>
  <si>
    <t>Nper</t>
  </si>
  <si>
    <t>Day 1</t>
  </si>
  <si>
    <t>PMT</t>
  </si>
  <si>
    <t>RATE</t>
  </si>
  <si>
    <t>Total Pay</t>
  </si>
  <si>
    <t>switch</t>
  </si>
  <si>
    <t>NPER</t>
  </si>
  <si>
    <t>Interest</t>
  </si>
  <si>
    <t>choose</t>
  </si>
  <si>
    <t>cell</t>
  </si>
  <si>
    <t>FV</t>
  </si>
  <si>
    <t>indirect</t>
  </si>
  <si>
    <t>Switch</t>
  </si>
  <si>
    <t>pv</t>
  </si>
  <si>
    <t>EMI</t>
  </si>
  <si>
    <t>Rate</t>
  </si>
  <si>
    <t>Name 2</t>
  </si>
  <si>
    <t>Name 4</t>
  </si>
  <si>
    <t>Filter</t>
  </si>
  <si>
    <t>Sort</t>
  </si>
  <si>
    <t>Unique</t>
  </si>
  <si>
    <t>Index &amp; Match</t>
  </si>
  <si>
    <t>Match</t>
  </si>
  <si>
    <t>Value Ka position</t>
  </si>
  <si>
    <t>Detail</t>
  </si>
  <si>
    <t>Index</t>
  </si>
  <si>
    <t>Position Ka Value</t>
  </si>
  <si>
    <t>Problem</t>
  </si>
  <si>
    <t>Find total Sales</t>
  </si>
  <si>
    <r>
      <rPr>
        <sz val="11"/>
        <color theme="1"/>
        <rFont val="Calibri"/>
        <family val="2"/>
      </rPr>
      <t xml:space="preserve">Calculate total </t>
    </r>
    <r>
      <rPr>
        <b/>
        <sz val="11"/>
        <color theme="1"/>
        <rFont val="Calibri"/>
        <family val="2"/>
      </rPr>
      <t>Sale Value</t>
    </r>
    <r>
      <rPr>
        <sz val="11"/>
        <color theme="1"/>
        <rFont val="Calibri"/>
        <family val="2"/>
      </rPr>
      <t xml:space="preserve"> for </t>
    </r>
    <r>
      <rPr>
        <b/>
        <sz val="11"/>
        <color theme="1"/>
        <rFont val="Calibri"/>
        <family val="2"/>
      </rPr>
      <t>Furniture</t>
    </r>
    <r>
      <rPr>
        <sz val="11"/>
        <color theme="1"/>
        <rFont val="Calibri"/>
        <family val="2"/>
      </rPr>
      <t xml:space="preserve"> in </t>
    </r>
    <r>
      <rPr>
        <b/>
        <sz val="11"/>
        <color theme="1"/>
        <rFont val="Calibri"/>
        <family val="2"/>
      </rPr>
      <t>West</t>
    </r>
    <r>
      <rPr>
        <sz val="11"/>
        <color theme="1"/>
        <rFont val="Calibri"/>
        <family val="2"/>
      </rPr>
      <t>.</t>
    </r>
  </si>
  <si>
    <r>
      <rPr>
        <sz val="11"/>
        <color theme="1"/>
        <rFont val="Calibri"/>
        <family val="2"/>
      </rPr>
      <t xml:space="preserve">Find average </t>
    </r>
    <r>
      <rPr>
        <b/>
        <sz val="11"/>
        <color theme="1"/>
        <rFont val="Calibri"/>
        <family val="2"/>
      </rPr>
      <t>Units Sold</t>
    </r>
    <r>
      <rPr>
        <sz val="11"/>
        <color theme="1"/>
        <rFont val="Calibri"/>
        <family val="2"/>
      </rPr>
      <t xml:space="preserve"> for same criteria.</t>
    </r>
  </si>
  <si>
    <r>
      <rPr>
        <sz val="11"/>
        <color theme="1"/>
        <rFont val="Calibri"/>
        <family val="2"/>
      </rPr>
      <t xml:space="preserve">Get maximum </t>
    </r>
    <r>
      <rPr>
        <b/>
        <sz val="11"/>
        <color theme="1"/>
        <rFont val="Calibri"/>
        <family val="2"/>
      </rPr>
      <t>Unit Price</t>
    </r>
    <r>
      <rPr>
        <sz val="11"/>
        <color theme="1"/>
        <rFont val="Calibri"/>
        <family val="2"/>
      </rPr>
      <t xml:space="preserve"> of matching records.</t>
    </r>
  </si>
  <si>
    <r>
      <rPr>
        <sz val="11"/>
        <color theme="1"/>
        <rFont val="Calibri"/>
        <family val="2"/>
      </rPr>
      <t xml:space="preserve">Get minimum </t>
    </r>
    <r>
      <rPr>
        <b/>
        <sz val="11"/>
        <color theme="1"/>
        <rFont val="Calibri"/>
        <family val="2"/>
      </rPr>
      <t>Units Sold</t>
    </r>
    <r>
      <rPr>
        <sz val="11"/>
        <color theme="1"/>
        <rFont val="Calibri"/>
        <family val="2"/>
      </rPr>
      <t>.</t>
    </r>
  </si>
  <si>
    <t>Count how many sales match the criteria.</t>
  </si>
  <si>
    <r>
      <rPr>
        <sz val="11"/>
        <color theme="1"/>
        <rFont val="Calibri"/>
        <family val="2"/>
      </rPr>
      <t xml:space="preserve">calculate </t>
    </r>
    <r>
      <rPr>
        <b/>
        <sz val="11"/>
        <color theme="1"/>
        <rFont val="Calibri"/>
        <family val="2"/>
      </rPr>
      <t>total Sale Value</t>
    </r>
    <r>
      <rPr>
        <sz val="11"/>
        <color theme="1"/>
        <rFont val="Calibri"/>
        <family val="2"/>
      </rPr>
      <t xml:space="preserve"> for Alice in April.</t>
    </r>
  </si>
  <si>
    <t>count how many items Alice sold in April.</t>
  </si>
  <si>
    <t>Home</t>
  </si>
  <si>
    <t>Formate Painter</t>
  </si>
  <si>
    <t xml:space="preserve">Wrap text </t>
  </si>
  <si>
    <t>Shink to Fit</t>
  </si>
  <si>
    <t>Center Across Selection</t>
  </si>
  <si>
    <t>Number formatting</t>
  </si>
  <si>
    <t>Make a Marksheet with Conditional Formatting With Formula</t>
  </si>
  <si>
    <t>Custom sort</t>
  </si>
  <si>
    <t>Sr. No</t>
  </si>
  <si>
    <t>Sub 6</t>
  </si>
  <si>
    <t>Sub 7</t>
  </si>
  <si>
    <t>Student 3</t>
  </si>
  <si>
    <t>Student 1</t>
  </si>
  <si>
    <t>Student 8</t>
  </si>
  <si>
    <t>Student 4</t>
  </si>
  <si>
    <t>Student 2</t>
  </si>
  <si>
    <t>Student 9</t>
  </si>
  <si>
    <t>Student 6</t>
  </si>
  <si>
    <t>&gt;20</t>
  </si>
  <si>
    <t>First Name</t>
  </si>
  <si>
    <t>Last Name</t>
  </si>
  <si>
    <t>Address</t>
  </si>
  <si>
    <t>City State</t>
  </si>
  <si>
    <t>ZIP</t>
  </si>
  <si>
    <t>Date of Birth</t>
  </si>
  <si>
    <t>Stephen</t>
  </si>
  <si>
    <t>Silva</t>
  </si>
  <si>
    <t>7759 Johnson Ave.</t>
  </si>
  <si>
    <t>Glencoe,IL</t>
  </si>
  <si>
    <t>2.9.1941</t>
  </si>
  <si>
    <t>John</t>
  </si>
  <si>
    <t>Lloyd</t>
  </si>
  <si>
    <t>3842 Harrison St.</t>
  </si>
  <si>
    <t>Saddle River,NJ</t>
  </si>
  <si>
    <t>3.11.1974</t>
  </si>
  <si>
    <t>Timothy</t>
  </si>
  <si>
    <t>Park</t>
  </si>
  <si>
    <t>8001 Gore St.</t>
  </si>
  <si>
    <t>The Plains,VA</t>
  </si>
  <si>
    <t>1.16.1955</t>
  </si>
  <si>
    <t>Michael</t>
  </si>
  <si>
    <t>Molina</t>
  </si>
  <si>
    <t>7217 Lincoln Lane</t>
  </si>
  <si>
    <t>San Francisco,CA</t>
  </si>
  <si>
    <t>3.2.1909</t>
  </si>
  <si>
    <t>Scott</t>
  </si>
  <si>
    <t>McDowell</t>
  </si>
  <si>
    <t>6436 Taft St.</t>
  </si>
  <si>
    <t>Weston,CT</t>
  </si>
  <si>
    <t>5.3.1932</t>
  </si>
  <si>
    <t>Randy</t>
  </si>
  <si>
    <t>Nixon</t>
  </si>
  <si>
    <t>550 Polk Ave.</t>
  </si>
  <si>
    <t>Hinsdale,IL</t>
  </si>
  <si>
    <t>1.8.1983</t>
  </si>
  <si>
    <t>Leonard</t>
  </si>
  <si>
    <t>Figueroa</t>
  </si>
  <si>
    <t>8028 Wallace Ave.</t>
  </si>
  <si>
    <t>Belair Beach,FL</t>
  </si>
  <si>
    <t>5.24.1909</t>
  </si>
  <si>
    <t>Robin</t>
  </si>
  <si>
    <t>Hutchinson</t>
  </si>
  <si>
    <t>2247 Grant Ave.</t>
  </si>
  <si>
    <t>Rumson,NJ</t>
  </si>
  <si>
    <t>12.27.1969</t>
  </si>
  <si>
    <t>Shira</t>
  </si>
  <si>
    <t>Nelson</t>
  </si>
  <si>
    <t>5800 Humphrey Blvd.</t>
  </si>
  <si>
    <t>Franklin Lakes,NJ</t>
  </si>
  <si>
    <t>1.6.1975</t>
  </si>
  <si>
    <t>Robert</t>
  </si>
  <si>
    <t>Daniel</t>
  </si>
  <si>
    <t>4915 Adams Ct.</t>
  </si>
  <si>
    <t>Sherborn,MA</t>
  </si>
  <si>
    <t>2.23.1965</t>
  </si>
  <si>
    <t>Brenda</t>
  </si>
  <si>
    <t>Barnett</t>
  </si>
  <si>
    <t>887 Harrison St.</t>
  </si>
  <si>
    <t>Westport,CT</t>
  </si>
  <si>
    <t>10.27.1945</t>
  </si>
  <si>
    <t>Jon</t>
  </si>
  <si>
    <t>Gregory</t>
  </si>
  <si>
    <t>4247 Hoover Ct.</t>
  </si>
  <si>
    <t>Fort Worth,TX</t>
  </si>
  <si>
    <t>12.15.1909</t>
  </si>
  <si>
    <t>Jan</t>
  </si>
  <si>
    <t>Ramos</t>
  </si>
  <si>
    <t>6136 Harrison Ct.</t>
  </si>
  <si>
    <t>Portola Valley,CA</t>
  </si>
  <si>
    <t>7.27.1959</t>
  </si>
  <si>
    <t>Salary (K)</t>
  </si>
  <si>
    <t>IN</t>
  </si>
  <si>
    <t>Develearn in computer class IN thane boy IN</t>
  </si>
  <si>
    <t xml:space="preserve">      Develearn                     class in thane      class class</t>
  </si>
  <si>
    <t>Five Star</t>
  </si>
  <si>
    <t>Text 1</t>
  </si>
  <si>
    <t>Text 2</t>
  </si>
  <si>
    <t>kumar</t>
  </si>
  <si>
    <t>Nested V Lookup</t>
  </si>
  <si>
    <r>
      <rPr>
        <b/>
        <sz val="11"/>
        <color theme="1"/>
        <rFont val="Calibri"/>
        <family val="2"/>
        <scheme val="minor"/>
      </rPr>
      <t>PMT</t>
    </r>
    <r>
      <rPr>
        <sz val="11"/>
        <color theme="1"/>
        <rFont val="Calibri"/>
        <family val="2"/>
        <scheme val="minor"/>
      </rPr>
      <t>/EMI</t>
    </r>
  </si>
  <si>
    <t>Rate (Annual)</t>
  </si>
  <si>
    <t>First Use</t>
  </si>
  <si>
    <t>Rohit,Amit@Ganesh,Rahul</t>
  </si>
  <si>
    <t>Rohit kumaar Jha</t>
  </si>
  <si>
    <t>T</t>
  </si>
  <si>
    <t>F</t>
  </si>
  <si>
    <t>XOR</t>
  </si>
  <si>
    <t>CountA</t>
  </si>
  <si>
    <t>CountBlank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</si>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</sst>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MS Mincho"/>
      <family val="3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8496B0"/>
        <bgColor rgb="FF8496B0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/>
    <xf numFmtId="0" fontId="6" fillId="0" borderId="0" xfId="0" applyFont="1"/>
    <xf numFmtId="0" fontId="4" fillId="2" borderId="2" xfId="0" applyFont="1" applyFill="1" applyBorder="1"/>
    <xf numFmtId="0" fontId="4" fillId="0" borderId="0" xfId="0" applyFont="1"/>
    <xf numFmtId="0" fontId="5" fillId="2" borderId="2" xfId="0" applyFont="1" applyFill="1" applyBorder="1"/>
    <xf numFmtId="14" fontId="5" fillId="0" borderId="0" xfId="0" applyNumberFormat="1" applyFont="1"/>
    <xf numFmtId="18" fontId="5" fillId="0" borderId="0" xfId="0" applyNumberFormat="1" applyFont="1"/>
    <xf numFmtId="22" fontId="5" fillId="0" borderId="0" xfId="0" applyNumberFormat="1" applyFont="1"/>
    <xf numFmtId="16" fontId="5" fillId="0" borderId="0" xfId="0" applyNumberFormat="1" applyFont="1"/>
    <xf numFmtId="0" fontId="4" fillId="2" borderId="2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3" xfId="0" applyFont="1" applyBorder="1"/>
    <xf numFmtId="0" fontId="5" fillId="0" borderId="4" xfId="0" quotePrefix="1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4" fillId="0" borderId="14" xfId="0" applyFont="1" applyBorder="1"/>
    <xf numFmtId="0" fontId="5" fillId="0" borderId="15" xfId="0" applyFont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4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/>
    <xf numFmtId="0" fontId="5" fillId="3" borderId="2" xfId="0" applyFont="1" applyFill="1" applyBorder="1" applyAlignment="1">
      <alignment vertical="center"/>
    </xf>
    <xf numFmtId="0" fontId="5" fillId="0" borderId="0" xfId="0" applyFont="1"/>
    <xf numFmtId="0" fontId="5" fillId="3" borderId="2" xfId="0" applyFont="1" applyFill="1" applyBorder="1"/>
    <xf numFmtId="0" fontId="4" fillId="0" borderId="0" xfId="0" applyFont="1" applyAlignment="1">
      <alignment vertical="center" wrapText="1"/>
    </xf>
    <xf numFmtId="9" fontId="5" fillId="0" borderId="0" xfId="0" applyNumberFormat="1" applyFont="1"/>
    <xf numFmtId="9" fontId="5" fillId="3" borderId="2" xfId="0" applyNumberFormat="1" applyFont="1" applyFill="1" applyBorder="1"/>
    <xf numFmtId="14" fontId="5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/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left" vertical="center"/>
    </xf>
    <xf numFmtId="8" fontId="5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8" fontId="5" fillId="5" borderId="2" xfId="0" applyNumberFormat="1" applyFont="1" applyFill="1" applyBorder="1"/>
    <xf numFmtId="8" fontId="5" fillId="6" borderId="2" xfId="0" applyNumberFormat="1" applyFont="1" applyFill="1" applyBorder="1"/>
    <xf numFmtId="8" fontId="5" fillId="7" borderId="2" xfId="0" applyNumberFormat="1" applyFont="1" applyFill="1" applyBorder="1"/>
    <xf numFmtId="8" fontId="5" fillId="0" borderId="1" xfId="0" applyNumberFormat="1" applyFont="1" applyBorder="1"/>
    <xf numFmtId="9" fontId="5" fillId="0" borderId="1" xfId="0" applyNumberFormat="1" applyFont="1" applyBorder="1"/>
    <xf numFmtId="2" fontId="5" fillId="0" borderId="1" xfId="0" applyNumberFormat="1" applyFont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0" fontId="5" fillId="0" borderId="0" xfId="0" applyNumberFormat="1" applyFont="1"/>
    <xf numFmtId="0" fontId="5" fillId="0" borderId="2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8" borderId="1" xfId="0" applyFont="1" applyFill="1" applyBorder="1"/>
    <xf numFmtId="0" fontId="3" fillId="0" borderId="0" xfId="0" applyFont="1"/>
    <xf numFmtId="0" fontId="3" fillId="9" borderId="0" xfId="0" applyFont="1" applyFill="1"/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4" fillId="0" borderId="19" xfId="0" applyFont="1" applyBorder="1"/>
    <xf numFmtId="0" fontId="5" fillId="0" borderId="20" xfId="0" applyFont="1" applyBorder="1"/>
    <xf numFmtId="0" fontId="4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10" fillId="0" borderId="0" xfId="0" applyFont="1"/>
    <xf numFmtId="9" fontId="5" fillId="0" borderId="20" xfId="1" applyFont="1" applyBorder="1" applyAlignment="1">
      <alignment vertical="center" wrapText="1"/>
    </xf>
    <xf numFmtId="9" fontId="5" fillId="0" borderId="1" xfId="1" applyFont="1" applyBorder="1" applyAlignment="1">
      <alignment vertical="center" wrapText="1"/>
    </xf>
    <xf numFmtId="9" fontId="5" fillId="0" borderId="17" xfId="1" applyFont="1" applyBorder="1" applyAlignment="1">
      <alignment vertical="center" wrapText="1"/>
    </xf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2" fontId="5" fillId="4" borderId="2" xfId="0" applyNumberFormat="1" applyFont="1" applyFill="1" applyBorder="1"/>
    <xf numFmtId="0" fontId="11" fillId="0" borderId="0" xfId="0" applyFont="1"/>
    <xf numFmtId="0" fontId="2" fillId="0" borderId="0" xfId="0" applyFont="1" applyAlignment="1">
      <alignment wrapText="1"/>
    </xf>
    <xf numFmtId="0" fontId="12" fillId="0" borderId="0" xfId="0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29" xfId="0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0</xdr:row>
      <xdr:rowOff>0</xdr:rowOff>
    </xdr:from>
    <xdr:ext cx="5753100" cy="2895600"/>
    <xdr:pic>
      <xdr:nvPicPr>
        <xdr:cNvPr id="2" name="image2.png" descr="Dataset for FV calculatio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5372100" cy="2971800"/>
    <xdr:pic>
      <xdr:nvPicPr>
        <xdr:cNvPr id="3" name="image1.png" descr="Applying PV formula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5238750" cy="3019425"/>
    <xdr:pic>
      <xdr:nvPicPr>
        <xdr:cNvPr id="4" name="image5.png" descr="Applying PMT Functio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953000" cy="3181350"/>
    <xdr:pic>
      <xdr:nvPicPr>
        <xdr:cNvPr id="5" name="image4.png" descr="applying RATE functio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71</xdr:row>
      <xdr:rowOff>0</xdr:rowOff>
    </xdr:from>
    <xdr:ext cx="5029200" cy="3267075"/>
    <xdr:pic>
      <xdr:nvPicPr>
        <xdr:cNvPr id="6" name="image3.png" descr="applying NPER function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7</xdr:row>
      <xdr:rowOff>28575</xdr:rowOff>
    </xdr:from>
    <xdr:ext cx="4981575" cy="23907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01"/>
  <sheetViews>
    <sheetView topLeftCell="A12" zoomScale="115" zoomScaleNormal="115" workbookViewId="0">
      <selection activeCell="K31" sqref="K31"/>
    </sheetView>
  </sheetViews>
  <sheetFormatPr defaultColWidth="14.42578125" defaultRowHeight="15" customHeight="1" x14ac:dyDescent="0.25"/>
  <cols>
    <col min="1" max="1" width="9.85546875" customWidth="1"/>
    <col min="2" max="2" width="13.5703125" customWidth="1"/>
    <col min="3" max="3" width="13.28515625" customWidth="1"/>
    <col min="4" max="4" width="11.140625" customWidth="1"/>
    <col min="5" max="6" width="9.28515625" customWidth="1"/>
    <col min="7" max="8" width="8.7109375" customWidth="1"/>
    <col min="9" max="9" width="4.85546875" customWidth="1"/>
    <col min="10" max="10" width="11.140625" customWidth="1"/>
    <col min="11" max="11" width="7.7109375" customWidth="1"/>
    <col min="12" max="12" width="11.28515625" customWidth="1"/>
    <col min="13" max="13" width="33.85546875" bestFit="1" customWidth="1"/>
    <col min="14" max="14" width="6.28515625" bestFit="1" customWidth="1"/>
    <col min="15" max="15" width="38.85546875" bestFit="1" customWidth="1"/>
    <col min="16" max="16" width="8.28515625" customWidth="1"/>
    <col min="17" max="17" width="43" bestFit="1" customWidth="1"/>
    <col min="18" max="26" width="8.7109375" customWidth="1"/>
  </cols>
  <sheetData>
    <row r="1" spans="1:27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spans="1:27" x14ac:dyDescent="0.25">
      <c r="A2" s="5" t="s">
        <v>17</v>
      </c>
      <c r="B2" s="5">
        <v>78</v>
      </c>
      <c r="C2" s="5">
        <v>45</v>
      </c>
      <c r="D2" s="5">
        <v>56</v>
      </c>
      <c r="E2" s="5">
        <v>45</v>
      </c>
      <c r="F2" s="5">
        <v>90</v>
      </c>
      <c r="G2" s="5">
        <f>SUM(B2:F2)</f>
        <v>314</v>
      </c>
      <c r="H2" s="5">
        <f>AVERAGE(B2:F2)</f>
        <v>62.8</v>
      </c>
      <c r="I2" s="5">
        <f>MAX(B2:F2)</f>
        <v>90</v>
      </c>
      <c r="J2" s="5">
        <f>MIN(B2:F2)</f>
        <v>45</v>
      </c>
      <c r="K2" s="5">
        <f>COUNT(B2:F2)</f>
        <v>5</v>
      </c>
      <c r="L2" s="5" t="str">
        <f>IF(H2&gt;35,"Pass","Fail")</f>
        <v>Pass</v>
      </c>
      <c r="M2" s="5" t="str">
        <f>IF(H2&gt;60,"A",IF(H2&gt;50,"B",IF(H2&gt;40,"C",IF(H2&gt;35,"D","Fail"))))</f>
        <v>A</v>
      </c>
      <c r="N2" s="5" t="str" cm="1">
        <f t="array" ref="N2">_xlfn.IFS(H2&gt;60,"A",H2&gt;50,"B",H2&gt;40,"C",H2&gt;=35,"D",H2&lt;35,"Fail")</f>
        <v>A</v>
      </c>
      <c r="O2" s="5" t="str" cm="1">
        <f t="array" ref="O2">IF(AND(B2:F2&gt;35),"Pass","Fail")</f>
        <v>Pass</v>
      </c>
      <c r="P2" s="5" t="str" cm="1">
        <f t="array" ref="P2">IF(OR(B2:F2&gt;35),"Pass","Fail")</f>
        <v>Pass</v>
      </c>
      <c r="Q2" s="5">
        <f>RANK(H2,$H$2:$H$10,0)</f>
        <v>3</v>
      </c>
      <c r="T2" s="100"/>
      <c r="U2" s="100"/>
      <c r="V2" s="100"/>
      <c r="W2" s="100"/>
      <c r="X2" s="100"/>
      <c r="Z2" t="s">
        <v>10</v>
      </c>
      <c r="AA2">
        <f>COUNT(T2:X9)</f>
        <v>1</v>
      </c>
    </row>
    <row r="3" spans="1:27" x14ac:dyDescent="0.25">
      <c r="A3" s="5" t="s">
        <v>18</v>
      </c>
      <c r="B3" s="5">
        <v>90</v>
      </c>
      <c r="C3" s="5">
        <v>54</v>
      </c>
      <c r="D3" s="5">
        <v>79</v>
      </c>
      <c r="E3" s="5">
        <v>62</v>
      </c>
      <c r="F3" s="5">
        <v>87</v>
      </c>
      <c r="G3" s="5">
        <f t="shared" ref="G3:G10" si="0">SUM(B3:F3)</f>
        <v>372</v>
      </c>
      <c r="H3" s="5">
        <f t="shared" ref="H3:H10" si="1">AVERAGE(B3:F3)</f>
        <v>74.400000000000006</v>
      </c>
      <c r="I3" s="5">
        <f t="shared" ref="I3:I10" si="2">MAX(B3:F3)</f>
        <v>90</v>
      </c>
      <c r="J3" s="5">
        <f t="shared" ref="J3:J10" si="3">MIN(B3:F3)</f>
        <v>54</v>
      </c>
      <c r="K3" s="5">
        <f t="shared" ref="K3:K10" si="4">COUNT(B3:F3)</f>
        <v>5</v>
      </c>
      <c r="L3" s="5" t="str">
        <f t="shared" ref="L3:L10" si="5">IF(H3&gt;35,"Pass","Fail")</f>
        <v>Pass</v>
      </c>
      <c r="M3" s="5" t="str">
        <f t="shared" ref="M3:M10" si="6">IF(H3&gt;60,"A",IF(H3&gt;50,"B",IF(H3&gt;40,"C",IF(H3&gt;35,"D","Fail"))))</f>
        <v>A</v>
      </c>
      <c r="N3" s="5" t="str" cm="1">
        <f t="array" ref="N3">_xlfn.IFS(H3&gt;60,"A",H3&gt;50,"B",H3&gt;40,"C",H3&gt;=35,"D",H3&lt;35,"Fail")</f>
        <v>A</v>
      </c>
      <c r="O3" s="5" t="str" cm="1">
        <f t="array" ref="O3">IF(AND(B3:F3&gt;35),"Pass","Fail")</f>
        <v>Pass</v>
      </c>
      <c r="P3" s="5" t="str" cm="1">
        <f t="array" ref="P3">IF(OR(B3:F3&gt;35),"Pass","Fail")</f>
        <v>Pass</v>
      </c>
      <c r="Q3" s="5">
        <f t="shared" ref="Q3:Q10" si="7">RANK(H3,$H$2:$H$10,0)</f>
        <v>1</v>
      </c>
      <c r="T3" s="100"/>
      <c r="U3" s="100"/>
      <c r="V3" s="100"/>
      <c r="W3" s="100"/>
      <c r="X3" s="100"/>
      <c r="Z3" t="s">
        <v>340</v>
      </c>
      <c r="AA3">
        <f>COUNTA(T2:X9)</f>
        <v>3</v>
      </c>
    </row>
    <row r="4" spans="1:27" x14ac:dyDescent="0.25">
      <c r="A4" s="5" t="s">
        <v>19</v>
      </c>
      <c r="B4" s="5">
        <v>94</v>
      </c>
      <c r="C4" s="5">
        <v>35</v>
      </c>
      <c r="D4" s="5">
        <v>55</v>
      </c>
      <c r="E4" s="5">
        <v>65</v>
      </c>
      <c r="F4" s="5">
        <v>86</v>
      </c>
      <c r="G4" s="5">
        <f t="shared" si="0"/>
        <v>335</v>
      </c>
      <c r="H4" s="5">
        <f t="shared" si="1"/>
        <v>67</v>
      </c>
      <c r="I4" s="5">
        <f t="shared" si="2"/>
        <v>94</v>
      </c>
      <c r="J4" s="5">
        <f t="shared" si="3"/>
        <v>35</v>
      </c>
      <c r="K4" s="5">
        <f t="shared" si="4"/>
        <v>5</v>
      </c>
      <c r="L4" s="5" t="str">
        <f t="shared" si="5"/>
        <v>Pass</v>
      </c>
      <c r="M4" s="5" t="str">
        <f t="shared" si="6"/>
        <v>A</v>
      </c>
      <c r="N4" s="5" t="str" cm="1">
        <f t="array" ref="N4">_xlfn.IFS(H4&gt;60,"A",H4&gt;50,"B",H4&gt;40,"C",H4&gt;=35,"D",H4&lt;35,"Fail")</f>
        <v>A</v>
      </c>
      <c r="O4" s="5" t="str" cm="1">
        <f t="array" ref="O4">IF(AND(B4:F4&gt;35),"Pass","Fail")</f>
        <v>Fail</v>
      </c>
      <c r="P4" s="5" t="str" cm="1">
        <f t="array" ref="P4">IF(OR(B4:F4&gt;35),"Pass","Fail")</f>
        <v>Pass</v>
      </c>
      <c r="Q4" s="5">
        <f t="shared" si="7"/>
        <v>2</v>
      </c>
      <c r="T4" s="100" t="s">
        <v>49</v>
      </c>
      <c r="U4" s="100"/>
      <c r="V4" s="100" t="s">
        <v>342</v>
      </c>
      <c r="W4" s="100"/>
      <c r="X4" s="100"/>
      <c r="Z4" t="s">
        <v>341</v>
      </c>
      <c r="AA4">
        <f>COUNTBLANK(T2:X9)</f>
        <v>37</v>
      </c>
    </row>
    <row r="5" spans="1:27" x14ac:dyDescent="0.25">
      <c r="A5" s="5" t="s">
        <v>20</v>
      </c>
      <c r="B5" s="5">
        <v>86</v>
      </c>
      <c r="C5" s="5">
        <v>56</v>
      </c>
      <c r="D5" s="5">
        <v>90</v>
      </c>
      <c r="E5" s="5">
        <v>47</v>
      </c>
      <c r="F5" s="5">
        <v>14</v>
      </c>
      <c r="G5" s="5">
        <f t="shared" si="0"/>
        <v>293</v>
      </c>
      <c r="H5" s="5">
        <f t="shared" si="1"/>
        <v>58.6</v>
      </c>
      <c r="I5" s="5">
        <f t="shared" si="2"/>
        <v>90</v>
      </c>
      <c r="J5" s="5">
        <f t="shared" si="3"/>
        <v>14</v>
      </c>
      <c r="K5" s="5">
        <f t="shared" si="4"/>
        <v>5</v>
      </c>
      <c r="L5" s="5" t="str">
        <f t="shared" si="5"/>
        <v>Pass</v>
      </c>
      <c r="M5" s="5" t="str">
        <f t="shared" si="6"/>
        <v>B</v>
      </c>
      <c r="N5" s="5" t="str" cm="1">
        <f t="array" ref="N5">_xlfn.IFS(H5&gt;60,"A",H5&gt;50,"B",H5&gt;40,"C",H5&gt;=35,"D",H5&lt;35,"Fail")</f>
        <v>B</v>
      </c>
      <c r="O5" s="5" t="str" cm="1">
        <f t="array" ref="O5">IF(AND(B5:F5&gt;35),"Pass","Fail")</f>
        <v>Fail</v>
      </c>
      <c r="P5" s="5" t="str" cm="1">
        <f t="array" ref="P5">IF(OR(B5:F5&gt;35),"Pass","Fail")</f>
        <v>Pass</v>
      </c>
      <c r="Q5" s="5">
        <f t="shared" si="7"/>
        <v>4</v>
      </c>
      <c r="T5" s="100"/>
      <c r="U5" s="100"/>
      <c r="V5" s="100"/>
      <c r="W5" s="100"/>
      <c r="X5" s="100"/>
    </row>
    <row r="6" spans="1:27" x14ac:dyDescent="0.25">
      <c r="A6" s="5" t="s">
        <v>18</v>
      </c>
      <c r="B6" s="5">
        <v>22</v>
      </c>
      <c r="C6" s="5">
        <v>79</v>
      </c>
      <c r="D6" s="5">
        <v>95</v>
      </c>
      <c r="E6" s="5">
        <v>16</v>
      </c>
      <c r="F6" s="5">
        <v>43</v>
      </c>
      <c r="G6" s="5">
        <f t="shared" si="0"/>
        <v>255</v>
      </c>
      <c r="H6" s="5">
        <f t="shared" si="1"/>
        <v>51</v>
      </c>
      <c r="I6" s="5">
        <f t="shared" si="2"/>
        <v>95</v>
      </c>
      <c r="J6" s="5">
        <f t="shared" si="3"/>
        <v>16</v>
      </c>
      <c r="K6" s="5">
        <f t="shared" si="4"/>
        <v>5</v>
      </c>
      <c r="L6" s="5" t="str">
        <f t="shared" si="5"/>
        <v>Pass</v>
      </c>
      <c r="M6" s="5" t="str">
        <f t="shared" si="6"/>
        <v>B</v>
      </c>
      <c r="N6" s="5" t="str" cm="1">
        <f t="array" ref="N6">_xlfn.IFS(H6&gt;60,"A",H6&gt;50,"B",H6&gt;40,"C",H6&gt;=35,"D",H6&lt;35,"Fail")</f>
        <v>B</v>
      </c>
      <c r="O6" s="5" t="str" cm="1">
        <f t="array" ref="O6">IF(AND(B6:F6&gt;35),"Pass","Fail")</f>
        <v>Fail</v>
      </c>
      <c r="P6" s="5" t="str" cm="1">
        <f t="array" ref="P6">IF(OR(B6:F6&gt;35),"Pass","Fail")</f>
        <v>Pass</v>
      </c>
      <c r="Q6" s="5">
        <f t="shared" si="7"/>
        <v>5</v>
      </c>
      <c r="T6" s="100"/>
      <c r="U6" s="100"/>
      <c r="V6" s="100">
        <v>5</v>
      </c>
      <c r="W6" s="100"/>
      <c r="X6" s="100"/>
    </row>
    <row r="7" spans="1:27" x14ac:dyDescent="0.25">
      <c r="A7" s="5" t="s">
        <v>18</v>
      </c>
      <c r="B7" s="5">
        <v>81</v>
      </c>
      <c r="C7" s="5">
        <v>12</v>
      </c>
      <c r="D7" s="5">
        <v>95</v>
      </c>
      <c r="E7" s="5">
        <v>17</v>
      </c>
      <c r="F7" s="5">
        <v>2</v>
      </c>
      <c r="G7" s="5">
        <f t="shared" si="0"/>
        <v>207</v>
      </c>
      <c r="H7" s="5">
        <f t="shared" si="1"/>
        <v>41.4</v>
      </c>
      <c r="I7" s="5">
        <f t="shared" si="2"/>
        <v>95</v>
      </c>
      <c r="J7" s="5">
        <f t="shared" si="3"/>
        <v>2</v>
      </c>
      <c r="K7" s="5">
        <f t="shared" si="4"/>
        <v>5</v>
      </c>
      <c r="L7" s="5" t="str">
        <f t="shared" si="5"/>
        <v>Pass</v>
      </c>
      <c r="M7" s="5" t="str">
        <f t="shared" si="6"/>
        <v>C</v>
      </c>
      <c r="N7" s="5" t="str" cm="1">
        <f t="array" ref="N7">_xlfn.IFS(H7&gt;60,"A",H7&gt;50,"B",H7&gt;40,"C",H7&gt;=35,"D",H7&lt;35,"Fail")</f>
        <v>C</v>
      </c>
      <c r="O7" s="5" t="str" cm="1">
        <f t="array" ref="O7">IF(AND(B7:F7&gt;35),"Pass","Fail")</f>
        <v>Fail</v>
      </c>
      <c r="P7" s="5" t="str" cm="1">
        <f t="array" ref="P7">IF(OR(B7:F7&gt;35),"Pass","Fail")</f>
        <v>Pass</v>
      </c>
      <c r="Q7" s="5">
        <f t="shared" si="7"/>
        <v>7</v>
      </c>
      <c r="T7" s="100"/>
      <c r="U7" s="100"/>
      <c r="V7" s="100"/>
      <c r="W7" s="100"/>
      <c r="X7" s="100"/>
    </row>
    <row r="8" spans="1:27" x14ac:dyDescent="0.25">
      <c r="A8" s="5" t="s">
        <v>21</v>
      </c>
      <c r="B8" s="5">
        <v>16</v>
      </c>
      <c r="C8" s="5">
        <v>73</v>
      </c>
      <c r="D8" s="5">
        <v>7</v>
      </c>
      <c r="E8" s="5">
        <v>27</v>
      </c>
      <c r="F8" s="5">
        <v>81</v>
      </c>
      <c r="G8" s="5">
        <f t="shared" si="0"/>
        <v>204</v>
      </c>
      <c r="H8" s="5">
        <f t="shared" si="1"/>
        <v>40.799999999999997</v>
      </c>
      <c r="I8" s="5">
        <f t="shared" si="2"/>
        <v>81</v>
      </c>
      <c r="J8" s="5">
        <f t="shared" si="3"/>
        <v>7</v>
      </c>
      <c r="K8" s="5">
        <f t="shared" si="4"/>
        <v>5</v>
      </c>
      <c r="L8" s="5" t="str">
        <f t="shared" si="5"/>
        <v>Pass</v>
      </c>
      <c r="M8" s="5" t="str">
        <f t="shared" si="6"/>
        <v>C</v>
      </c>
      <c r="N8" s="5" t="str" cm="1">
        <f t="array" ref="N8">_xlfn.IFS(H8&gt;60,"A",H8&gt;50,"B",H8&gt;40,"C",H8&gt;=35,"D",H8&lt;35,"Fail")</f>
        <v>C</v>
      </c>
      <c r="O8" s="5" t="str" cm="1">
        <f t="array" ref="O8">IF(AND(B8:F8&gt;35),"Pass","Fail")</f>
        <v>Fail</v>
      </c>
      <c r="P8" s="5" t="str" cm="1">
        <f t="array" ref="P8">IF(OR(B8:F8&gt;35),"Pass","Fail")</f>
        <v>Pass</v>
      </c>
      <c r="Q8" s="5">
        <f t="shared" si="7"/>
        <v>8</v>
      </c>
      <c r="T8" s="100"/>
      <c r="U8" s="100"/>
      <c r="V8" s="100"/>
      <c r="W8" s="100"/>
      <c r="X8" s="100"/>
    </row>
    <row r="9" spans="1:27" x14ac:dyDescent="0.25">
      <c r="A9" s="5" t="s">
        <v>20</v>
      </c>
      <c r="B9" s="5">
        <v>66</v>
      </c>
      <c r="C9" s="5">
        <v>42</v>
      </c>
      <c r="D9" s="5">
        <v>74</v>
      </c>
      <c r="E9" s="5">
        <v>41</v>
      </c>
      <c r="F9" s="5">
        <v>14</v>
      </c>
      <c r="G9" s="5">
        <f t="shared" si="0"/>
        <v>237</v>
      </c>
      <c r="H9" s="5">
        <f t="shared" si="1"/>
        <v>47.4</v>
      </c>
      <c r="I9" s="5">
        <f t="shared" si="2"/>
        <v>74</v>
      </c>
      <c r="J9" s="5">
        <f t="shared" si="3"/>
        <v>14</v>
      </c>
      <c r="K9" s="5">
        <f t="shared" si="4"/>
        <v>5</v>
      </c>
      <c r="L9" s="5" t="str">
        <f>IF(H9&gt;35,"Pass","Fail")</f>
        <v>Pass</v>
      </c>
      <c r="M9" s="5" t="str">
        <f t="shared" si="6"/>
        <v>C</v>
      </c>
      <c r="N9" s="5" t="str" cm="1">
        <f t="array" ref="N9">_xlfn.IFS(H9&gt;60,"A",H9&gt;50,"B",H9&gt;40,"C",H9&gt;=35,"D",H9&lt;35,"Fail")</f>
        <v>C</v>
      </c>
      <c r="O9" s="5" t="str" cm="1">
        <f t="array" ref="O9">IF(AND(B9:F9&gt;35),"Pass","Fail")</f>
        <v>Fail</v>
      </c>
      <c r="P9" s="5" t="str" cm="1">
        <f t="array" ref="P9">IF(OR(B9:F9&gt;35),"Pass","Fail")</f>
        <v>Pass</v>
      </c>
      <c r="Q9" s="5">
        <f t="shared" si="7"/>
        <v>6</v>
      </c>
      <c r="T9" s="100"/>
      <c r="U9" s="100"/>
      <c r="V9" s="100"/>
      <c r="W9" s="100"/>
      <c r="X9" s="100"/>
    </row>
    <row r="10" spans="1:27" x14ac:dyDescent="0.25">
      <c r="A10" s="5" t="s">
        <v>20</v>
      </c>
      <c r="B10" s="5">
        <v>20</v>
      </c>
      <c r="C10" s="5">
        <v>18</v>
      </c>
      <c r="D10" s="5">
        <v>32</v>
      </c>
      <c r="E10" s="5">
        <v>20</v>
      </c>
      <c r="F10" s="5">
        <v>7</v>
      </c>
      <c r="G10" s="5">
        <f t="shared" si="0"/>
        <v>97</v>
      </c>
      <c r="H10" s="5">
        <f t="shared" si="1"/>
        <v>19.399999999999999</v>
      </c>
      <c r="I10" s="5">
        <f t="shared" si="2"/>
        <v>32</v>
      </c>
      <c r="J10" s="5">
        <f t="shared" si="3"/>
        <v>7</v>
      </c>
      <c r="K10" s="5">
        <f t="shared" si="4"/>
        <v>5</v>
      </c>
      <c r="L10" s="5" t="str">
        <f t="shared" si="5"/>
        <v>Fail</v>
      </c>
      <c r="M10" s="5" t="str">
        <f t="shared" si="6"/>
        <v>Fail</v>
      </c>
      <c r="N10" s="5" t="str" cm="1">
        <f t="array" ref="N10">_xlfn.IFS(H10&gt;60,"A",H10&gt;50,"B",H10&gt;40,"C",H10&gt;=35,"D",H10&lt;35,"Fail")</f>
        <v>Fail</v>
      </c>
      <c r="O10" s="5" t="str" cm="1">
        <f t="array" ref="O10">IF(AND(B10:F10&gt;35),"Pass","Fail")</f>
        <v>Fail</v>
      </c>
      <c r="P10" s="5" t="str" cm="1">
        <f t="array" ref="P10">IF(OR(B10:F10&gt;35),"Pass","Fail")</f>
        <v>Fail</v>
      </c>
      <c r="Q10" s="5">
        <f t="shared" si="7"/>
        <v>9</v>
      </c>
    </row>
    <row r="12" spans="1:27" x14ac:dyDescent="0.25">
      <c r="A12" s="6" t="s">
        <v>22</v>
      </c>
      <c r="B12" s="6">
        <v>2</v>
      </c>
      <c r="C12" s="6">
        <v>4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M12" s="7" t="s">
        <v>23</v>
      </c>
      <c r="N12" s="8"/>
      <c r="O12" s="7" t="s">
        <v>24</v>
      </c>
      <c r="P12" s="8"/>
      <c r="Q12" s="7" t="s">
        <v>25</v>
      </c>
    </row>
    <row r="13" spans="1:27" x14ac:dyDescent="0.25">
      <c r="A13" s="9" t="s">
        <v>26</v>
      </c>
      <c r="B13" s="6">
        <f>SMALL(B2:B10,B12)</f>
        <v>20</v>
      </c>
      <c r="C13" s="6">
        <f t="shared" ref="C13:H13" si="8">SMALL(C2:C10,C12)</f>
        <v>42</v>
      </c>
      <c r="D13" s="6">
        <f t="shared" si="8"/>
        <v>7</v>
      </c>
      <c r="E13" s="6">
        <f t="shared" si="8"/>
        <v>16</v>
      </c>
      <c r="F13" s="6">
        <f t="shared" si="8"/>
        <v>2</v>
      </c>
      <c r="G13" s="6">
        <f t="shared" si="8"/>
        <v>97</v>
      </c>
      <c r="H13" s="6">
        <f t="shared" si="8"/>
        <v>19.399999999999999</v>
      </c>
      <c r="J13" s="8" t="s">
        <v>27</v>
      </c>
      <c r="K13" s="6" t="s">
        <v>20</v>
      </c>
      <c r="M13" s="6">
        <f>COUNTIF(A2:A10,K13)</f>
        <v>3</v>
      </c>
      <c r="O13" s="6">
        <f>SUMIF(A2:A10,K13,G2:G10)</f>
        <v>627</v>
      </c>
      <c r="Q13" s="6">
        <f>AVERAGEIF(A2:A10,K13,G2:G10)</f>
        <v>209</v>
      </c>
    </row>
    <row r="14" spans="1:27" x14ac:dyDescent="0.25">
      <c r="A14" s="9"/>
      <c r="B14" s="6"/>
      <c r="C14" s="6"/>
      <c r="D14" s="6"/>
      <c r="E14" s="6"/>
      <c r="F14" s="6"/>
      <c r="G14" s="6"/>
      <c r="H14" s="6"/>
      <c r="J14" s="8"/>
      <c r="K14" s="6"/>
      <c r="M14" s="6" t="str">
        <f ca="1">_xlfn.FORMULATEXT(M13)</f>
        <v>=COUNTIF(A2:A10,K13)</v>
      </c>
      <c r="N14" s="6"/>
      <c r="O14" s="6" t="str">
        <f t="shared" ref="N14:Q15" ca="1" si="9">_xlfn.FORMULATEXT(O13)</f>
        <v>=SUMIF(A2:A10,K13,G2:G10)</v>
      </c>
      <c r="P14" s="6"/>
      <c r="Q14" s="6" t="str">
        <f t="shared" ca="1" si="9"/>
        <v>=AVERAGEIF(A2:A10,K13,G2:G10)</v>
      </c>
    </row>
    <row r="15" spans="1:27" x14ac:dyDescent="0.25">
      <c r="A15" s="9" t="s">
        <v>28</v>
      </c>
      <c r="B15" s="6">
        <f>LARGE(B2:B10,B12)</f>
        <v>90</v>
      </c>
      <c r="C15" s="6">
        <f t="shared" ref="C15:H15" si="10">LARGE(C2:C10,C12)</f>
        <v>54</v>
      </c>
      <c r="D15" s="6">
        <f t="shared" si="10"/>
        <v>95</v>
      </c>
      <c r="E15" s="6">
        <f t="shared" si="10"/>
        <v>65</v>
      </c>
      <c r="F15" s="6">
        <f t="shared" si="10"/>
        <v>90</v>
      </c>
      <c r="G15" s="6">
        <f t="shared" si="10"/>
        <v>372</v>
      </c>
      <c r="H15" s="6">
        <f t="shared" si="10"/>
        <v>74.400000000000006</v>
      </c>
      <c r="O15" s="6"/>
      <c r="Q15" s="6"/>
    </row>
    <row r="16" spans="1:27" x14ac:dyDescent="0.25">
      <c r="M16" s="7" t="s">
        <v>29</v>
      </c>
      <c r="O16" s="7" t="s">
        <v>30</v>
      </c>
      <c r="Q16" s="7" t="s">
        <v>31</v>
      </c>
    </row>
    <row r="17" spans="1:18" x14ac:dyDescent="0.25">
      <c r="B17" s="7" t="s">
        <v>34</v>
      </c>
      <c r="J17" s="8" t="s">
        <v>32</v>
      </c>
      <c r="K17" s="6" t="s">
        <v>33</v>
      </c>
      <c r="M17" s="6">
        <f>COUNTIFS(A2:A10,K13,D2:D10,K17)</f>
        <v>2</v>
      </c>
      <c r="O17" s="6">
        <f>SUMIFS(G2:G10,A2:A10,K13,B2:B10,K17)</f>
        <v>530</v>
      </c>
      <c r="Q17" s="6">
        <f>AVERAGEIFS(G2:G10,A2:A10,K13,B2:B10,K17)</f>
        <v>265</v>
      </c>
    </row>
    <row r="18" spans="1:18" x14ac:dyDescent="0.25">
      <c r="M18" s="6" t="str">
        <f ca="1">_xlfn.FORMULATEXT(M17)</f>
        <v>=COUNTIFS(A2:A10,K13,D2:D10,K17)</v>
      </c>
      <c r="N18" s="6"/>
      <c r="O18" s="6" t="str">
        <f t="shared" ref="O18" ca="1" si="11">_xlfn.FORMULATEXT(O17)</f>
        <v>=SUMIFS(G2:G10,A2:A10,K13,B2:B10,K17)</v>
      </c>
      <c r="P18" s="6"/>
      <c r="Q18" s="6" t="str">
        <f t="shared" ref="Q18" ca="1" si="12">_xlfn.FORMULATEXT(Q17)</f>
        <v>=AVERAGEIFS(G2:G10,A2:A10,K13,B2:B10,K17)</v>
      </c>
    </row>
    <row r="19" spans="1:18" x14ac:dyDescent="0.25">
      <c r="A19" s="8" t="s">
        <v>37</v>
      </c>
      <c r="B19" s="8" t="s">
        <v>323</v>
      </c>
      <c r="C19" s="8" t="s">
        <v>39</v>
      </c>
      <c r="D19" s="8" t="s">
        <v>40</v>
      </c>
      <c r="G19" s="7" t="s">
        <v>35</v>
      </c>
      <c r="H19" s="8"/>
      <c r="I19" s="8"/>
      <c r="M19" s="9" t="s">
        <v>41</v>
      </c>
    </row>
    <row r="20" spans="1:18" x14ac:dyDescent="0.25">
      <c r="A20" s="6" t="s">
        <v>42</v>
      </c>
      <c r="B20" s="6">
        <v>31</v>
      </c>
      <c r="C20" s="6">
        <v>90</v>
      </c>
      <c r="D20" s="6">
        <f>IF(NOT(AND(B20&gt;50)),B20,B20*50%)</f>
        <v>31</v>
      </c>
      <c r="G20" s="5">
        <v>61</v>
      </c>
      <c r="H20" s="5">
        <v>55</v>
      </c>
      <c r="I20" s="5">
        <v>100</v>
      </c>
      <c r="M20" s="9" t="b">
        <v>1</v>
      </c>
      <c r="N20" s="6" t="b">
        <f>NOT(M20)</f>
        <v>0</v>
      </c>
    </row>
    <row r="21" spans="1:18" x14ac:dyDescent="0.25">
      <c r="A21" s="6" t="s">
        <v>43</v>
      </c>
      <c r="B21" s="6">
        <v>42</v>
      </c>
      <c r="C21" s="6">
        <v>45</v>
      </c>
      <c r="D21" s="6">
        <f t="shared" ref="D21:D26" si="13">IF(NOT(AND(B21&gt;50)),B21,B21*50%)</f>
        <v>42</v>
      </c>
      <c r="G21" s="5">
        <v>66</v>
      </c>
      <c r="H21" s="5">
        <v>92</v>
      </c>
      <c r="I21" s="5">
        <v>60</v>
      </c>
      <c r="M21" s="9" t="b">
        <v>0</v>
      </c>
      <c r="N21" s="6" t="b">
        <f>NOT(M21)</f>
        <v>1</v>
      </c>
    </row>
    <row r="22" spans="1:18" ht="15.75" customHeight="1" x14ac:dyDescent="0.25">
      <c r="A22" s="6" t="s">
        <v>44</v>
      </c>
      <c r="B22" s="6">
        <v>40</v>
      </c>
      <c r="C22" s="6">
        <v>109</v>
      </c>
      <c r="D22" s="6">
        <f t="shared" si="13"/>
        <v>40</v>
      </c>
      <c r="G22" s="5">
        <v>73</v>
      </c>
      <c r="H22" s="5">
        <v>97</v>
      </c>
      <c r="I22" s="5">
        <v>98</v>
      </c>
      <c r="N22" s="6"/>
      <c r="O22" s="6"/>
      <c r="P22" s="6"/>
      <c r="R22" s="6"/>
    </row>
    <row r="23" spans="1:18" ht="15.75" customHeight="1" x14ac:dyDescent="0.25">
      <c r="A23" s="6" t="s">
        <v>45</v>
      </c>
      <c r="B23" s="6">
        <v>76</v>
      </c>
      <c r="C23" s="6">
        <v>115</v>
      </c>
      <c r="D23" s="6">
        <f t="shared" si="13"/>
        <v>38</v>
      </c>
      <c r="G23" s="5">
        <v>67</v>
      </c>
      <c r="H23" s="5">
        <v>68</v>
      </c>
      <c r="I23" s="5">
        <v>98</v>
      </c>
      <c r="M23" s="8"/>
      <c r="N23" s="6"/>
      <c r="O23" s="6"/>
      <c r="P23" s="6"/>
      <c r="R23" s="6"/>
    </row>
    <row r="24" spans="1:18" ht="15.75" customHeight="1" x14ac:dyDescent="0.25">
      <c r="A24" s="6" t="s">
        <v>46</v>
      </c>
      <c r="B24" s="6">
        <v>64</v>
      </c>
      <c r="C24" s="6">
        <v>146</v>
      </c>
      <c r="D24" s="6">
        <f t="shared" si="13"/>
        <v>32</v>
      </c>
      <c r="G24" s="5">
        <v>71</v>
      </c>
      <c r="H24" s="5">
        <v>95</v>
      </c>
      <c r="I24" s="5">
        <v>76</v>
      </c>
      <c r="N24" s="6"/>
      <c r="O24" s="6"/>
      <c r="P24" s="6"/>
      <c r="R24" s="6"/>
    </row>
    <row r="25" spans="1:18" ht="15.75" customHeight="1" x14ac:dyDescent="0.25">
      <c r="A25" s="6" t="s">
        <v>47</v>
      </c>
      <c r="B25" s="6">
        <v>57</v>
      </c>
      <c r="C25" s="6">
        <v>117</v>
      </c>
      <c r="D25" s="6">
        <f t="shared" si="13"/>
        <v>28.5</v>
      </c>
      <c r="G25" s="5">
        <v>60</v>
      </c>
      <c r="H25" s="5">
        <v>78</v>
      </c>
      <c r="I25" s="5">
        <v>63</v>
      </c>
      <c r="N25" s="6"/>
      <c r="O25" s="6"/>
      <c r="P25" s="6"/>
      <c r="R25" s="6"/>
    </row>
    <row r="26" spans="1:18" ht="15.75" customHeight="1" x14ac:dyDescent="0.25">
      <c r="A26" s="6" t="s">
        <v>48</v>
      </c>
      <c r="B26" s="6">
        <v>88</v>
      </c>
      <c r="C26" s="6">
        <v>32</v>
      </c>
      <c r="D26" s="6">
        <f t="shared" si="13"/>
        <v>44</v>
      </c>
      <c r="G26" s="5"/>
      <c r="H26" s="5"/>
      <c r="I26" s="5"/>
      <c r="R26" s="6"/>
    </row>
    <row r="27" spans="1:18" ht="15.75" customHeight="1" x14ac:dyDescent="0.25"/>
    <row r="28" spans="1:18" ht="15.75" customHeight="1" x14ac:dyDescent="0.25"/>
    <row r="29" spans="1:18" ht="15.75" customHeight="1" x14ac:dyDescent="0.25">
      <c r="C29" s="7" t="s">
        <v>36</v>
      </c>
    </row>
    <row r="30" spans="1:18" ht="15.75" customHeight="1" x14ac:dyDescent="0.25">
      <c r="A30" s="6">
        <v>100</v>
      </c>
      <c r="B30" s="6" t="s">
        <v>49</v>
      </c>
      <c r="C30" s="6" t="str">
        <f>IFERROR(A30/B30,"Check ")</f>
        <v xml:space="preserve">Check </v>
      </c>
    </row>
    <row r="31" spans="1:18" ht="15.75" customHeight="1" x14ac:dyDescent="0.25"/>
    <row r="32" spans="1:18" ht="15.75" customHeight="1" x14ac:dyDescent="0.25"/>
    <row r="33" spans="2:15" ht="15.75" customHeight="1" x14ac:dyDescent="0.25"/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>
      <c r="B37" t="s">
        <v>14</v>
      </c>
      <c r="F37" t="s">
        <v>15</v>
      </c>
      <c r="J37" t="s">
        <v>41</v>
      </c>
      <c r="M37" t="s">
        <v>339</v>
      </c>
    </row>
    <row r="38" spans="2:15" ht="15.75" customHeight="1" x14ac:dyDescent="0.25">
      <c r="B38" t="s">
        <v>337</v>
      </c>
      <c r="C38" t="s">
        <v>337</v>
      </c>
      <c r="D38" t="s">
        <v>337</v>
      </c>
      <c r="F38" t="s">
        <v>337</v>
      </c>
      <c r="G38" t="s">
        <v>337</v>
      </c>
      <c r="H38" t="s">
        <v>337</v>
      </c>
      <c r="J38" t="s">
        <v>337</v>
      </c>
      <c r="K38" t="s">
        <v>338</v>
      </c>
      <c r="M38" t="b">
        <v>1</v>
      </c>
      <c r="N38" t="b">
        <v>1</v>
      </c>
      <c r="O38" t="b">
        <f>_xlfn.XOR(M38:N38)</f>
        <v>0</v>
      </c>
    </row>
    <row r="39" spans="2:15" ht="15.75" customHeight="1" x14ac:dyDescent="0.25">
      <c r="B39" t="s">
        <v>337</v>
      </c>
      <c r="C39" t="s">
        <v>338</v>
      </c>
      <c r="D39" t="s">
        <v>338</v>
      </c>
      <c r="F39" t="s">
        <v>337</v>
      </c>
      <c r="G39" t="s">
        <v>338</v>
      </c>
      <c r="H39" t="s">
        <v>337</v>
      </c>
      <c r="J39" t="s">
        <v>338</v>
      </c>
      <c r="K39" t="s">
        <v>337</v>
      </c>
      <c r="M39" t="b">
        <v>1</v>
      </c>
      <c r="N39" t="b">
        <v>0</v>
      </c>
      <c r="O39" t="b">
        <f t="shared" ref="O39:O41" si="14">_xlfn.XOR(M39:N39)</f>
        <v>1</v>
      </c>
    </row>
    <row r="40" spans="2:15" ht="15.75" customHeight="1" x14ac:dyDescent="0.25">
      <c r="B40" t="s">
        <v>338</v>
      </c>
      <c r="C40" t="s">
        <v>337</v>
      </c>
      <c r="D40" t="s">
        <v>338</v>
      </c>
      <c r="F40" t="s">
        <v>338</v>
      </c>
      <c r="G40" t="s">
        <v>337</v>
      </c>
      <c r="H40" t="s">
        <v>337</v>
      </c>
      <c r="M40" t="b">
        <v>0</v>
      </c>
      <c r="N40" t="b">
        <v>1</v>
      </c>
      <c r="O40" t="b">
        <f t="shared" si="14"/>
        <v>1</v>
      </c>
    </row>
    <row r="41" spans="2:15" ht="15.75" customHeight="1" x14ac:dyDescent="0.25">
      <c r="B41" t="s">
        <v>338</v>
      </c>
      <c r="C41" t="s">
        <v>338</v>
      </c>
      <c r="D41" t="s">
        <v>338</v>
      </c>
      <c r="F41" t="s">
        <v>338</v>
      </c>
      <c r="G41" t="s">
        <v>338</v>
      </c>
      <c r="H41" t="s">
        <v>338</v>
      </c>
      <c r="M41" t="b">
        <v>0</v>
      </c>
      <c r="N41" t="b">
        <v>0</v>
      </c>
      <c r="O41" t="b">
        <f t="shared" si="14"/>
        <v>0</v>
      </c>
    </row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0866141732283472" right="0.70866141732283472" top="0.74803149606299213" bottom="0.74803149606299213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1000"/>
  <sheetViews>
    <sheetView tabSelected="1" topLeftCell="A13" workbookViewId="0">
      <selection activeCell="B35" sqref="B35"/>
    </sheetView>
  </sheetViews>
  <sheetFormatPr defaultColWidth="14.42578125" defaultRowHeight="15" customHeight="1" x14ac:dyDescent="0.25"/>
  <cols>
    <col min="1" max="1" width="32.140625" bestFit="1" customWidth="1"/>
    <col min="2" max="4" width="17.7109375" customWidth="1"/>
    <col min="5" max="5" width="24.28515625" bestFit="1" customWidth="1"/>
    <col min="6" max="6" width="27.5703125" customWidth="1"/>
    <col min="7" max="10" width="17.7109375" customWidth="1"/>
    <col min="11" max="26" width="8.7109375" customWidth="1"/>
  </cols>
  <sheetData>
    <row r="1" spans="1:10" x14ac:dyDescent="0.25">
      <c r="A1" s="8" t="s">
        <v>50</v>
      </c>
      <c r="B1" s="10">
        <v>45866</v>
      </c>
      <c r="E1" s="98"/>
    </row>
    <row r="2" spans="1:10" x14ac:dyDescent="0.25">
      <c r="A2" s="8" t="s">
        <v>51</v>
      </c>
      <c r="B2" s="11">
        <v>0.76249999999999996</v>
      </c>
      <c r="E2" s="99"/>
    </row>
    <row r="3" spans="1:10" x14ac:dyDescent="0.25">
      <c r="A3" s="8"/>
      <c r="B3" s="11"/>
      <c r="E3" s="99"/>
    </row>
    <row r="4" spans="1:10" x14ac:dyDescent="0.25">
      <c r="A4" s="7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7" t="s">
        <v>60</v>
      </c>
      <c r="J4" s="7" t="s">
        <v>61</v>
      </c>
    </row>
    <row r="5" spans="1:10" x14ac:dyDescent="0.25">
      <c r="A5" s="10">
        <f ca="1">TODAY()</f>
        <v>46109</v>
      </c>
      <c r="B5" s="12">
        <f ca="1">NOW()</f>
        <v>46109.618712847223</v>
      </c>
      <c r="C5" s="6">
        <f ca="1">DAY(A5)</f>
        <v>28</v>
      </c>
      <c r="D5" s="6">
        <f ca="1">MONTH(A5)</f>
        <v>3</v>
      </c>
      <c r="E5" s="6">
        <f ca="1">YEAR(A5)</f>
        <v>2026</v>
      </c>
      <c r="F5" s="10">
        <f ca="1">DATE(E5,D5,C5)</f>
        <v>46109</v>
      </c>
      <c r="G5" s="6">
        <f ca="1">HOUR(B5)</f>
        <v>14</v>
      </c>
      <c r="H5" s="6">
        <f ca="1">MINUTE(B5)</f>
        <v>50</v>
      </c>
      <c r="I5" s="6">
        <f ca="1">SECOND(B5)</f>
        <v>57</v>
      </c>
      <c r="J5" s="11">
        <f ca="1">TIME(G5,H5,I5)</f>
        <v>0.61871527777777779</v>
      </c>
    </row>
    <row r="6" spans="1:10" x14ac:dyDescent="0.25">
      <c r="A6" s="10" t="str">
        <f ca="1">_xlfn.FORMULATEXT(A5)</f>
        <v>=TODAY()</v>
      </c>
      <c r="B6" s="10" t="str">
        <f t="shared" ref="B6:J6" ca="1" si="0">_xlfn.FORMULATEXT(B5)</f>
        <v>=NOW()</v>
      </c>
      <c r="C6" s="10" t="str">
        <f t="shared" ca="1" si="0"/>
        <v>=DAY(A5)</v>
      </c>
      <c r="D6" s="10" t="str">
        <f t="shared" ca="1" si="0"/>
        <v>=MONTH(A5)</v>
      </c>
      <c r="E6" s="10" t="str">
        <f t="shared" ca="1" si="0"/>
        <v>=YEAR(A5)</v>
      </c>
      <c r="F6" s="10" t="str">
        <f t="shared" ca="1" si="0"/>
        <v>=DATE(E5,D5,C5)</v>
      </c>
      <c r="G6" s="10" t="str">
        <f t="shared" ca="1" si="0"/>
        <v>=HOUR(B5)</v>
      </c>
      <c r="H6" s="10" t="str">
        <f t="shared" ca="1" si="0"/>
        <v>=MINUTE(B5)</v>
      </c>
      <c r="I6" s="10" t="str">
        <f t="shared" ca="1" si="0"/>
        <v>=SECOND(B5)</v>
      </c>
      <c r="J6" s="10" t="str">
        <f t="shared" ca="1" si="0"/>
        <v>=TIME(G5,H5,I5)</v>
      </c>
    </row>
    <row r="7" spans="1:10" x14ac:dyDescent="0.25">
      <c r="A7" s="10"/>
      <c r="B7" s="12"/>
      <c r="F7" s="10"/>
      <c r="J7" s="11"/>
    </row>
    <row r="8" spans="1:10" x14ac:dyDescent="0.25">
      <c r="A8" s="8" t="s">
        <v>62</v>
      </c>
      <c r="B8" s="8" t="s">
        <v>63</v>
      </c>
      <c r="E8" s="8" t="s">
        <v>62</v>
      </c>
      <c r="F8" s="8" t="s">
        <v>64</v>
      </c>
      <c r="G8" s="8" t="s">
        <v>65</v>
      </c>
    </row>
    <row r="9" spans="1:10" x14ac:dyDescent="0.25">
      <c r="A9" s="10">
        <v>35248</v>
      </c>
      <c r="B9" s="10">
        <f ca="1">TODAY()</f>
        <v>46109</v>
      </c>
      <c r="E9" s="10">
        <v>46031</v>
      </c>
      <c r="F9" s="6">
        <v>10</v>
      </c>
      <c r="G9" s="13">
        <v>46036</v>
      </c>
      <c r="H9" s="10"/>
      <c r="I9" s="10"/>
    </row>
    <row r="10" spans="1:10" x14ac:dyDescent="0.25">
      <c r="A10" s="10"/>
      <c r="B10" s="10"/>
      <c r="G10" s="13">
        <v>46038</v>
      </c>
    </row>
    <row r="12" spans="1:10" x14ac:dyDescent="0.25">
      <c r="A12" s="14" t="s">
        <v>66</v>
      </c>
      <c r="B12" s="14" t="s">
        <v>67</v>
      </c>
      <c r="C12" s="7" t="s">
        <v>68</v>
      </c>
      <c r="E12" s="7" t="s">
        <v>69</v>
      </c>
      <c r="F12" s="7" t="s">
        <v>70</v>
      </c>
      <c r="H12" s="7" t="s">
        <v>71</v>
      </c>
      <c r="I12" s="7" t="s">
        <v>72</v>
      </c>
    </row>
    <row r="13" spans="1:10" x14ac:dyDescent="0.25">
      <c r="A13" s="6">
        <f ca="1">_xlfn.DAYS(B9,A9)</f>
        <v>10861</v>
      </c>
      <c r="B13" s="6">
        <f ca="1">DAYS360(A9,B9)</f>
        <v>10706</v>
      </c>
      <c r="C13" s="6">
        <f ca="1">DATEDIF(A9,B9,"Y")</f>
        <v>29</v>
      </c>
      <c r="E13" s="10">
        <f>WORKDAY(E9,F9,G9:G10)</f>
        <v>46049</v>
      </c>
      <c r="F13" s="10">
        <f>WORKDAY.INTL(E9,F9,11,G9:G10)</f>
        <v>46045</v>
      </c>
      <c r="H13" s="10">
        <f>EDATE(E9,-3)</f>
        <v>45939</v>
      </c>
      <c r="I13" s="10">
        <f>EOMONTH(E9,2)</f>
        <v>46112</v>
      </c>
    </row>
    <row r="14" spans="1:10" x14ac:dyDescent="0.25">
      <c r="A14" s="10" t="str">
        <f ca="1">_xlfn.FORMULATEXT(A13)</f>
        <v>=DAYS(B9,A9)</v>
      </c>
      <c r="B14" s="10" t="str">
        <f t="shared" ref="B14:C14" ca="1" si="1">_xlfn.FORMULATEXT(B13)</f>
        <v>=DAYS360(A9,B9)</v>
      </c>
      <c r="C14" s="10" t="str">
        <f t="shared" ca="1" si="1"/>
        <v>=DATEDIF(A9,B9,"Y")</v>
      </c>
      <c r="E14" s="10" t="str">
        <f ca="1">_xlfn.FORMULATEXT(E13)</f>
        <v>=WORKDAY(E9,F9,G9:G10)</v>
      </c>
      <c r="F14" s="10" t="str">
        <f ca="1">_xlfn.FORMULATEXT(F13)</f>
        <v>=WORKDAY.INTL(E9,F9,11,G9:G10)</v>
      </c>
      <c r="H14" s="10" t="str">
        <f ca="1">_xlfn.FORMULATEXT(H13)</f>
        <v>=EDATE(E9,-3)</v>
      </c>
      <c r="I14" s="10" t="str">
        <f ca="1">_xlfn.FORMULATEXT(I13)</f>
        <v>=EOMONTH(E9,2)</v>
      </c>
      <c r="J14" s="10"/>
    </row>
    <row r="15" spans="1:10" x14ac:dyDescent="0.25">
      <c r="E15" s="10"/>
      <c r="F15" s="10"/>
      <c r="H15" s="10"/>
      <c r="I15" s="10"/>
    </row>
    <row r="16" spans="1:10" x14ac:dyDescent="0.25">
      <c r="A16" s="8" t="s">
        <v>62</v>
      </c>
      <c r="B16" s="8" t="s">
        <v>63</v>
      </c>
      <c r="C16" s="6" t="s">
        <v>65</v>
      </c>
      <c r="E16" s="8" t="s">
        <v>62</v>
      </c>
      <c r="F16" s="6" t="s">
        <v>63</v>
      </c>
      <c r="H16" s="10"/>
      <c r="I16" s="10"/>
    </row>
    <row r="17" spans="1:9" x14ac:dyDescent="0.25">
      <c r="A17" s="10">
        <v>46023</v>
      </c>
      <c r="B17" s="10">
        <v>46053</v>
      </c>
      <c r="C17" s="10">
        <v>46036</v>
      </c>
      <c r="E17" s="10">
        <v>35248</v>
      </c>
      <c r="F17" s="10">
        <v>45848</v>
      </c>
      <c r="H17" s="10"/>
      <c r="I17" s="10"/>
    </row>
    <row r="18" spans="1:9" x14ac:dyDescent="0.25">
      <c r="C18" s="98">
        <v>46038</v>
      </c>
      <c r="E18" s="10"/>
      <c r="F18" s="10"/>
      <c r="H18" s="10"/>
      <c r="I18" s="10"/>
    </row>
    <row r="19" spans="1:9" x14ac:dyDescent="0.25">
      <c r="A19" s="7" t="s">
        <v>73</v>
      </c>
      <c r="B19" s="7" t="s">
        <v>74</v>
      </c>
      <c r="E19" s="7" t="s">
        <v>75</v>
      </c>
      <c r="F19" s="7" t="s">
        <v>76</v>
      </c>
      <c r="H19" s="7" t="s">
        <v>77</v>
      </c>
      <c r="I19" s="7" t="s">
        <v>78</v>
      </c>
    </row>
    <row r="20" spans="1:9" x14ac:dyDescent="0.25">
      <c r="A20" s="6">
        <f>NETWORKDAYS(A17,B17,C17:C18)</f>
        <v>20</v>
      </c>
      <c r="B20" s="6">
        <f>NETWORKDAYS.INTL(A17,B17,11,C17:C18)</f>
        <v>25</v>
      </c>
      <c r="E20" s="6">
        <f>DATEVALUE("11-1-26")</f>
        <v>46033</v>
      </c>
      <c r="F20" s="6">
        <f>YEARFRAC(E17,F17,1)</f>
        <v>29.019894141266654</v>
      </c>
      <c r="H20" s="6">
        <f ca="1">WEEKNUM(TODAY(),2)</f>
        <v>13</v>
      </c>
      <c r="I20" s="15">
        <f ca="1">WEEKDAY(TODAY(),2)</f>
        <v>6</v>
      </c>
    </row>
    <row r="21" spans="1:9" ht="15.75" customHeight="1" x14ac:dyDescent="0.25">
      <c r="A21" s="10" t="str">
        <f ca="1">_xlfn.FORMULATEXT(A20)</f>
        <v>=NETWORKDAYS(A17,B17,C17:C18)</v>
      </c>
      <c r="B21" s="10" t="str">
        <f ca="1">_xlfn.FORMULATEXT(B20)</f>
        <v>=NETWORKDAYS.INTL(A17,B17,11,C17:C18)</v>
      </c>
      <c r="E21" s="10" t="str">
        <f ca="1">_xlfn.FORMULATEXT(E20)</f>
        <v>=DATEVALUE("11-1-26")</v>
      </c>
      <c r="F21" s="10" t="str">
        <f ca="1">_xlfn.FORMULATEXT(F20)</f>
        <v>=YEARFRAC(E17,F17,1)</v>
      </c>
      <c r="G21" s="10"/>
      <c r="H21" s="10" t="str">
        <f t="shared" ref="H21:I21" ca="1" si="2">_xlfn.FORMULATEXT(H20)</f>
        <v>=WEEKNUM(TODAY(),2)</v>
      </c>
      <c r="I21" s="10" t="str">
        <f t="shared" ca="1" si="2"/>
        <v>=WEEKDAY(TODAY(),2)</v>
      </c>
    </row>
    <row r="22" spans="1:9" ht="15.75" customHeight="1" x14ac:dyDescent="0.25">
      <c r="I22" s="15"/>
    </row>
    <row r="23" spans="1:9" ht="15.75" customHeight="1" x14ac:dyDescent="0.25">
      <c r="B23" s="98">
        <v>35248</v>
      </c>
    </row>
    <row r="24" spans="1:9" ht="15.75" customHeight="1" x14ac:dyDescent="0.25">
      <c r="A24" s="16" t="s">
        <v>79</v>
      </c>
      <c r="B24" s="17" t="s">
        <v>80</v>
      </c>
      <c r="C24" s="18"/>
      <c r="D24" s="18" t="s">
        <v>81</v>
      </c>
      <c r="E24" s="19">
        <v>3</v>
      </c>
      <c r="H24" s="7" t="s">
        <v>82</v>
      </c>
      <c r="I24" s="6" t="str">
        <f>TEXT(A9,"DD-DDD-MM-MMM-MMMM-YY-YYYY")</f>
        <v>02-Tue-07-Jul-July-96-1996</v>
      </c>
    </row>
    <row r="25" spans="1:9" ht="15.75" customHeight="1" x14ac:dyDescent="0.25">
      <c r="A25" s="20" t="s">
        <v>83</v>
      </c>
      <c r="B25" s="6" t="s">
        <v>84</v>
      </c>
      <c r="D25" s="6" t="s">
        <v>85</v>
      </c>
      <c r="E25" s="21" t="s">
        <v>86</v>
      </c>
    </row>
    <row r="26" spans="1:9" ht="15.75" customHeight="1" x14ac:dyDescent="0.25">
      <c r="A26" s="20" t="s">
        <v>87</v>
      </c>
      <c r="B26" s="6" t="s">
        <v>88</v>
      </c>
      <c r="D26" s="6" t="s">
        <v>89</v>
      </c>
      <c r="E26" s="21" t="s">
        <v>90</v>
      </c>
    </row>
    <row r="27" spans="1:9" ht="15.75" customHeight="1" x14ac:dyDescent="0.25">
      <c r="A27" s="20"/>
      <c r="E27" s="21"/>
    </row>
    <row r="28" spans="1:9" ht="15.75" customHeight="1" x14ac:dyDescent="0.25">
      <c r="A28" s="20" t="s">
        <v>91</v>
      </c>
      <c r="B28" s="6">
        <v>25</v>
      </c>
      <c r="E28" s="21"/>
    </row>
    <row r="29" spans="1:9" ht="15.75" customHeight="1" x14ac:dyDescent="0.25">
      <c r="A29" s="22" t="s">
        <v>92</v>
      </c>
      <c r="B29" s="23">
        <v>2025</v>
      </c>
      <c r="C29" s="23"/>
      <c r="D29" s="23"/>
      <c r="E29" s="24"/>
    </row>
    <row r="30" spans="1:9" ht="15.75" customHeight="1" x14ac:dyDescent="0.25"/>
    <row r="31" spans="1:9" ht="15.75" customHeight="1" x14ac:dyDescent="0.25"/>
    <row r="32" spans="1:9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>
      <c r="B35" s="101" t="e">
        <f>DATEVALUE("31-12-1899")</f>
        <v>#VALUE!</v>
      </c>
    </row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1000"/>
  <sheetViews>
    <sheetView topLeftCell="B1" zoomScaleNormal="100" workbookViewId="0">
      <selection activeCell="C37" sqref="C37"/>
    </sheetView>
  </sheetViews>
  <sheetFormatPr defaultColWidth="14.42578125" defaultRowHeight="15" customHeight="1" x14ac:dyDescent="0.25"/>
  <cols>
    <col min="1" max="1" width="41" bestFit="1" customWidth="1"/>
    <col min="2" max="2" width="43.7109375" customWidth="1"/>
    <col min="3" max="3" width="48.7109375" bestFit="1" customWidth="1"/>
    <col min="4" max="4" width="39.140625" customWidth="1"/>
    <col min="5" max="5" width="45" customWidth="1"/>
    <col min="6" max="6" width="15" customWidth="1"/>
    <col min="7" max="7" width="14.7109375" customWidth="1"/>
    <col min="8" max="26" width="8.7109375" customWidth="1"/>
  </cols>
  <sheetData>
    <row r="1" spans="1:8" x14ac:dyDescent="0.25">
      <c r="A1" s="6" t="s">
        <v>82</v>
      </c>
      <c r="B1" s="14" t="s">
        <v>93</v>
      </c>
      <c r="C1" s="14" t="s">
        <v>94</v>
      </c>
      <c r="D1" s="14" t="s">
        <v>95</v>
      </c>
      <c r="E1" s="14" t="s">
        <v>96</v>
      </c>
    </row>
    <row r="2" spans="1:8" x14ac:dyDescent="0.25">
      <c r="A2" s="75" t="s">
        <v>325</v>
      </c>
      <c r="B2" s="6" t="str">
        <f>UPPER(A2)</f>
        <v>DEVELEARN IN COMPUTER CLASS IN THANE BOY IN</v>
      </c>
      <c r="C2" s="6" t="str">
        <f>LOWER(A2)</f>
        <v>develearn in computer class in thane boy in</v>
      </c>
      <c r="D2" s="6" t="str">
        <f>PROPER(A2)</f>
        <v>Develearn In Computer Class In Thane Boy In</v>
      </c>
      <c r="E2" s="6">
        <f>LEN(A2)</f>
        <v>43</v>
      </c>
      <c r="H2" s="25"/>
    </row>
    <row r="3" spans="1:8" x14ac:dyDescent="0.25">
      <c r="B3" s="6" t="str">
        <f ca="1">_xlfn.FORMULATEXT(B2)</f>
        <v>=UPPER(A2)</v>
      </c>
      <c r="C3" s="6" t="str">
        <f t="shared" ref="C3:E3" ca="1" si="0">_xlfn.FORMULATEXT(C2)</f>
        <v>=LOWER(A2)</v>
      </c>
      <c r="D3" s="6" t="str">
        <f t="shared" ca="1" si="0"/>
        <v>=PROPER(A2)</v>
      </c>
      <c r="E3" s="6" t="str">
        <f t="shared" ca="1" si="0"/>
        <v>=LEN(A2)</v>
      </c>
      <c r="H3" s="25"/>
    </row>
    <row r="5" spans="1:8" x14ac:dyDescent="0.25">
      <c r="B5" s="14" t="s">
        <v>97</v>
      </c>
      <c r="C5" s="14" t="s">
        <v>98</v>
      </c>
      <c r="E5" s="14" t="s">
        <v>99</v>
      </c>
    </row>
    <row r="6" spans="1:8" x14ac:dyDescent="0.25">
      <c r="A6" s="75" t="s">
        <v>324</v>
      </c>
      <c r="B6" s="6">
        <f>FIND(A6,A2,FIND(A6,A2)+1)</f>
        <v>42</v>
      </c>
      <c r="C6" s="6">
        <f>SEARCH(A6,A2,12)</f>
        <v>29</v>
      </c>
      <c r="D6" s="26" t="s">
        <v>100</v>
      </c>
      <c r="E6" s="6" t="str">
        <f>REPT(D6 &amp; " ",5)</f>
        <v xml:space="preserve">Rohit Rohit Rohit Rohit Rohit </v>
      </c>
    </row>
    <row r="7" spans="1:8" x14ac:dyDescent="0.25">
      <c r="B7" s="6" t="str">
        <f ca="1">_xlfn.FORMULATEXT(B6)</f>
        <v>=FIND(A6,A2,FIND(A6,A2)+1)</v>
      </c>
      <c r="C7" s="6" t="str">
        <f ca="1">_xlfn.FORMULATEXT(C6)</f>
        <v>=SEARCH(A6,A2,12)</v>
      </c>
      <c r="D7" s="26"/>
      <c r="E7" s="6" t="str">
        <f ca="1">_xlfn.FORMULATEXT(E6)</f>
        <v>=REPT(D6 &amp; " ",5)</v>
      </c>
    </row>
    <row r="8" spans="1:8" ht="15.75" x14ac:dyDescent="0.25">
      <c r="D8" s="26">
        <v>90</v>
      </c>
      <c r="E8" s="94" t="str">
        <f>REPT("|",D8)</f>
        <v>||||||||||||||||||||||||||||||||||||||||||||||||||||||||||||||||||||||||||||||||||||||||||</v>
      </c>
    </row>
    <row r="9" spans="1:8" x14ac:dyDescent="0.25">
      <c r="A9" s="6" t="s">
        <v>100</v>
      </c>
      <c r="B9" s="14" t="s">
        <v>101</v>
      </c>
      <c r="C9" s="6" t="s">
        <v>102</v>
      </c>
      <c r="E9" s="6" t="str">
        <f ca="1">_xlfn.FORMULATEXT(E8)</f>
        <v>=REPT("|",D8)</v>
      </c>
    </row>
    <row r="10" spans="1:8" x14ac:dyDescent="0.25">
      <c r="A10" s="6" t="s">
        <v>103</v>
      </c>
      <c r="B10" s="6" t="b">
        <f>EXACT(A9,A10)</f>
        <v>0</v>
      </c>
      <c r="C10" s="6" t="b">
        <f>A9=A10</f>
        <v>1</v>
      </c>
    </row>
    <row r="12" spans="1:8" x14ac:dyDescent="0.25">
      <c r="A12" s="6" t="s">
        <v>82</v>
      </c>
      <c r="B12" s="14" t="s">
        <v>104</v>
      </c>
      <c r="C12" s="14" t="s">
        <v>105</v>
      </c>
      <c r="D12" s="14" t="s">
        <v>106</v>
      </c>
    </row>
    <row r="13" spans="1:8" x14ac:dyDescent="0.25">
      <c r="A13" s="75" t="s">
        <v>326</v>
      </c>
      <c r="B13" s="6" t="str">
        <f>TRIM(A13)</f>
        <v>Develearn class in thane class class</v>
      </c>
      <c r="C13" s="6" t="str">
        <f>TRIM(SUBSTITUTE(A13,"class","Group",3))</f>
        <v>Develearn class in thane class Group</v>
      </c>
      <c r="D13" s="6" t="str">
        <f>REPLACE(A13,FIND("class",A13),5,"Group")</f>
        <v xml:space="preserve">      Develearn                     Group in thane      class class</v>
      </c>
    </row>
    <row r="14" spans="1:8" x14ac:dyDescent="0.25">
      <c r="B14" s="6" t="str">
        <f ca="1">_xlfn.FORMULATEXT(B13)</f>
        <v>=TRIM(A13)</v>
      </c>
      <c r="C14" s="6" t="str">
        <f ca="1">_xlfn.FORMULATEXT(C13)</f>
        <v>=TRIM(SUBSTITUTE(A13,"class","Group",3))</v>
      </c>
      <c r="D14" s="6" t="str">
        <f ca="1">_xlfn.FORMULATEXT(D13)</f>
        <v>=REPLACE(A13,FIND("class",A13),5,"Group")</v>
      </c>
    </row>
    <row r="15" spans="1:8" x14ac:dyDescent="0.25">
      <c r="A15" s="6" t="s">
        <v>107</v>
      </c>
      <c r="B15" s="6" t="str">
        <f>TRIM(A15)</f>
        <v>Rohit kumar jha</v>
      </c>
      <c r="C15" s="6" t="str">
        <f>SUBSTITUTE(A15," ","")</f>
        <v>Rohitkumarjha</v>
      </c>
      <c r="D15" s="6" t="str">
        <f>TRIM(REPLACE(B15,SEARCH("kumar",B15),5,""))</f>
        <v>Rohit jha</v>
      </c>
    </row>
    <row r="16" spans="1:8" x14ac:dyDescent="0.25">
      <c r="B16" s="6" t="e">
        <f t="shared" ref="B16:D16" ca="1" si="1">_xludf.FORMULATEXT(B15)</f>
        <v>#NAME?</v>
      </c>
      <c r="C16" s="6" t="e">
        <f t="shared" ca="1" si="1"/>
        <v>#NAME?</v>
      </c>
      <c r="D16" s="6" t="e">
        <f t="shared" ca="1" si="1"/>
        <v>#NAME?</v>
      </c>
    </row>
    <row r="19" spans="1:7" x14ac:dyDescent="0.25">
      <c r="B19" s="14" t="s">
        <v>108</v>
      </c>
      <c r="C19" s="26"/>
      <c r="D19" s="14" t="s">
        <v>109</v>
      </c>
      <c r="E19" s="14" t="s">
        <v>110</v>
      </c>
      <c r="F19" s="7" t="s">
        <v>111</v>
      </c>
      <c r="G19" s="7" t="s">
        <v>112</v>
      </c>
    </row>
    <row r="20" spans="1:7" ht="45" x14ac:dyDescent="0.25">
      <c r="A20" s="15" t="s">
        <v>113</v>
      </c>
      <c r="B20" s="6" t="str">
        <f>CLEAN(A20)</f>
        <v>Rohit       kumar       jha</v>
      </c>
      <c r="C20" s="6">
        <v>65</v>
      </c>
      <c r="D20" s="6" t="str">
        <f>CHAR(C20)</f>
        <v>A</v>
      </c>
      <c r="E20" s="6">
        <f>CODE(D20)</f>
        <v>65</v>
      </c>
      <c r="F20">
        <f>_xlfn.UNICODE(G20)</f>
        <v>128077</v>
      </c>
      <c r="G20" s="6" t="str">
        <f>_xlfn.UNICHAR(128077)</f>
        <v>👍</v>
      </c>
    </row>
    <row r="21" spans="1:7" ht="15.75" customHeight="1" x14ac:dyDescent="0.25">
      <c r="B21" s="6" t="e">
        <f ca="1">_xludf.FORMULATEXT(B20)</f>
        <v>#NAME?</v>
      </c>
      <c r="D21" s="6" t="e">
        <f t="shared" ref="D21:E21" ca="1" si="2">_xludf.FORMULATEXT(D20)</f>
        <v>#NAME?</v>
      </c>
      <c r="E21" s="6" t="e">
        <f t="shared" ca="1" si="2"/>
        <v>#NAME?</v>
      </c>
      <c r="F21" s="6" t="e">
        <f ca="1">_xludf.FORMULATEXT(G20)</f>
        <v>#NAME?</v>
      </c>
      <c r="G21" s="6" t="e">
        <f ca="1">_xludf.FORMULATEXT(#REF!)</f>
        <v>#NAME?</v>
      </c>
    </row>
    <row r="22" spans="1:7" ht="15.75" customHeight="1" x14ac:dyDescent="0.25"/>
    <row r="23" spans="1:7" ht="15.75" customHeight="1" x14ac:dyDescent="0.25">
      <c r="A23" s="76" t="s">
        <v>328</v>
      </c>
      <c r="B23" s="76" t="s">
        <v>329</v>
      </c>
      <c r="C23" s="76" t="s">
        <v>329</v>
      </c>
      <c r="D23" s="14" t="s">
        <v>114</v>
      </c>
      <c r="E23" s="14" t="s">
        <v>115</v>
      </c>
      <c r="F23" s="14" t="s">
        <v>116</v>
      </c>
    </row>
    <row r="24" spans="1:7" ht="15.75" customHeight="1" x14ac:dyDescent="0.25">
      <c r="A24" s="6" t="s">
        <v>100</v>
      </c>
      <c r="B24" s="75" t="s">
        <v>330</v>
      </c>
      <c r="C24" s="6" t="s">
        <v>117</v>
      </c>
      <c r="D24" s="6" t="str">
        <f>_xlfn.CONCAT(A24," ",B24,C24)</f>
        <v>Rohit kumarJha</v>
      </c>
      <c r="E24" s="6" t="str">
        <f>_xlfn.TEXTJOIN("-",TRUE,A24,B24,C24)</f>
        <v>Rohit-kumar-Jha</v>
      </c>
      <c r="F24" s="6"/>
    </row>
    <row r="25" spans="1:7" ht="15.75" customHeight="1" x14ac:dyDescent="0.25">
      <c r="D25" s="6" t="str">
        <f ca="1">_xlfn.FORMULATEXT(D24)</f>
        <v>=CONCAT(A24," ",B24,C24)</v>
      </c>
      <c r="E25" s="6" t="str">
        <f>_xlfn.TEXTJOIN(" ",TRUE,A24:C24)</f>
        <v>Rohit kumar Jha</v>
      </c>
      <c r="F25" s="6" t="e">
        <f t="shared" ref="F25" ca="1" si="3">_xlfn.FORMULATEXT(F24)</f>
        <v>#N/A</v>
      </c>
    </row>
    <row r="26" spans="1:7" ht="15.75" customHeight="1" x14ac:dyDescent="0.25"/>
    <row r="27" spans="1:7" ht="15.75" customHeight="1" x14ac:dyDescent="0.25">
      <c r="A27" s="6" t="s">
        <v>118</v>
      </c>
      <c r="B27" s="7" t="s">
        <v>119</v>
      </c>
      <c r="C27" s="7" t="s">
        <v>120</v>
      </c>
      <c r="D27" s="7" t="s">
        <v>121</v>
      </c>
    </row>
    <row r="28" spans="1:7" ht="15.75" customHeight="1" x14ac:dyDescent="0.25">
      <c r="A28" s="6">
        <v>9876543210</v>
      </c>
      <c r="B28" s="6" t="str">
        <f>LEFT(A28,5)</f>
        <v>98765</v>
      </c>
      <c r="C28" s="6" t="str">
        <f>RIGHT(A28,5)</f>
        <v>43210</v>
      </c>
      <c r="D28" s="6" t="str">
        <f>MID(A28,5,4)</f>
        <v>5432</v>
      </c>
    </row>
    <row r="29" spans="1:7" ht="15.75" customHeight="1" x14ac:dyDescent="0.25">
      <c r="B29" s="6" t="str">
        <f ca="1">_xlfn.FORMULATEXT(B28)</f>
        <v>=LEFT(A28,5)</v>
      </c>
      <c r="C29" s="6" t="str">
        <f t="shared" ref="C29:D29" ca="1" si="4">_xlfn.FORMULATEXT(C28)</f>
        <v>=RIGHT(A28,5)</v>
      </c>
      <c r="D29" s="6" t="str">
        <f t="shared" ca="1" si="4"/>
        <v>=MID(A28,5,4)</v>
      </c>
    </row>
    <row r="30" spans="1:7" ht="15.75" customHeight="1" x14ac:dyDescent="0.25">
      <c r="A30" s="75" t="s">
        <v>0</v>
      </c>
    </row>
    <row r="31" spans="1:7" ht="15.75" customHeight="1" x14ac:dyDescent="0.25">
      <c r="A31" s="97" t="s">
        <v>336</v>
      </c>
      <c r="B31" t="str">
        <f>LEFT(A31,FIND(" ",A31)-1)</f>
        <v>Rohit</v>
      </c>
      <c r="C31" t="str">
        <f>RIGHT(A31,LEN(A31)-FIND(" ",A31,FIND(" ",A31)+1))</f>
        <v>Jha</v>
      </c>
      <c r="E31" t="str">
        <f>MID(A31, FIND(" ", A31)+1, FIND(" ", A31, FIND(" ", A31)+1) - FIND(" ", A31)-1)</f>
        <v>kumaar</v>
      </c>
    </row>
    <row r="32" spans="1:7" ht="15.75" customHeight="1" x14ac:dyDescent="0.25"/>
    <row r="33" spans="1:5" ht="15.75" customHeight="1" x14ac:dyDescent="0.25">
      <c r="A33" s="75" t="s">
        <v>327</v>
      </c>
    </row>
    <row r="34" spans="1:5" ht="15.75" customHeight="1" x14ac:dyDescent="0.25">
      <c r="A34" s="15">
        <v>5</v>
      </c>
      <c r="B34" t="str">
        <f>REPT(_xlfn.UNICHAR(128077),A34) &amp; REPT(_xlfn.UNICHAR(128078),5-A34)</f>
        <v>👍👍👍👍👍</v>
      </c>
      <c r="E34" s="96"/>
    </row>
    <row r="35" spans="1:5" ht="15.75" customHeight="1" x14ac:dyDescent="0.25">
      <c r="A35">
        <v>4</v>
      </c>
      <c r="B35" t="str">
        <f t="shared" ref="B35:B38" si="5">REPT(_xlfn.UNICHAR(128077),A35) &amp; REPT(_xlfn.UNICHAR(128078),5-A35)</f>
        <v>👍👍👍👍👎</v>
      </c>
    </row>
    <row r="36" spans="1:5" ht="15.75" customHeight="1" x14ac:dyDescent="0.25">
      <c r="A36">
        <v>2</v>
      </c>
      <c r="B36" t="str">
        <f t="shared" si="5"/>
        <v>👍👍👎👎👎</v>
      </c>
    </row>
    <row r="37" spans="1:5" ht="15.75" customHeight="1" x14ac:dyDescent="0.25">
      <c r="A37">
        <v>3</v>
      </c>
      <c r="B37" t="str">
        <f t="shared" si="5"/>
        <v>👍👍👍👎👎</v>
      </c>
    </row>
    <row r="38" spans="1:5" ht="15.75" customHeight="1" x14ac:dyDescent="0.25">
      <c r="A38">
        <v>1</v>
      </c>
      <c r="B38" t="str">
        <f t="shared" si="5"/>
        <v>👍👎👎👎👎</v>
      </c>
    </row>
    <row r="39" spans="1:5" ht="15.75" customHeight="1" x14ac:dyDescent="0.25"/>
    <row r="40" spans="1:5" ht="15.75" customHeight="1" x14ac:dyDescent="0.25"/>
    <row r="41" spans="1:5" ht="53.25" customHeight="1" x14ac:dyDescent="0.25">
      <c r="A41" s="97" t="s">
        <v>335</v>
      </c>
      <c r="B41" s="95" t="str" cm="1">
        <f t="array" ref="B41:B43">_xlfn.TEXTSPLIT(A41,,",")</f>
        <v>Rohit</v>
      </c>
      <c r="C41" t="str">
        <f>_xlfn.TEXTBEFORE(A41,"@")</f>
        <v>Rohit,Amit</v>
      </c>
      <c r="D41" t="str" cm="1">
        <f t="array" ref="D41:D42">_xlfn.TEXTSPLIT(_xlfn.TEXTAFTER(A41,"@"),,",")</f>
        <v>Ganesh</v>
      </c>
    </row>
    <row r="42" spans="1:5" ht="15.75" customHeight="1" x14ac:dyDescent="0.25">
      <c r="B42" t="str">
        <v>Amit@Ganesh</v>
      </c>
      <c r="D42" t="str">
        <v>Rahul</v>
      </c>
    </row>
    <row r="43" spans="1:5" ht="15.75" customHeight="1" x14ac:dyDescent="0.25">
      <c r="B43" t="str">
        <v>Rahul</v>
      </c>
    </row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Z986"/>
  <sheetViews>
    <sheetView topLeftCell="B1" workbookViewId="0">
      <selection activeCell="B1" sqref="B1:H11"/>
    </sheetView>
  </sheetViews>
  <sheetFormatPr defaultColWidth="14.42578125" defaultRowHeight="15" customHeight="1" x14ac:dyDescent="0.25"/>
  <cols>
    <col min="1" max="1" width="11.140625" customWidth="1"/>
    <col min="2" max="2" width="23.7109375" customWidth="1"/>
    <col min="3" max="3" width="10.85546875" customWidth="1"/>
    <col min="4" max="8" width="11.140625" customWidth="1"/>
    <col min="9" max="9" width="8.7109375" customWidth="1"/>
    <col min="10" max="10" width="12.140625" customWidth="1"/>
    <col min="11" max="11" width="8.42578125" customWidth="1"/>
    <col min="12" max="12" width="10.42578125" customWidth="1"/>
    <col min="13" max="13" width="14.85546875" customWidth="1"/>
    <col min="14" max="26" width="8.7109375" customWidth="1"/>
  </cols>
  <sheetData>
    <row r="1" spans="1:26" ht="30" x14ac:dyDescent="0.25">
      <c r="A1" s="42" t="s">
        <v>178</v>
      </c>
      <c r="B1" s="42" t="s">
        <v>57</v>
      </c>
      <c r="C1" s="42" t="s">
        <v>128</v>
      </c>
      <c r="D1" s="42" t="s">
        <v>129</v>
      </c>
      <c r="E1" s="42" t="s">
        <v>179</v>
      </c>
      <c r="F1" s="42" t="s">
        <v>130</v>
      </c>
      <c r="G1" s="42" t="s">
        <v>131</v>
      </c>
      <c r="H1" s="42" t="s">
        <v>180</v>
      </c>
      <c r="K1" s="42" t="s">
        <v>178</v>
      </c>
      <c r="L1" s="42" t="s">
        <v>57</v>
      </c>
      <c r="M1" s="42" t="s">
        <v>128</v>
      </c>
      <c r="N1" s="42" t="s">
        <v>129</v>
      </c>
      <c r="O1" s="42" t="s">
        <v>179</v>
      </c>
      <c r="P1" s="42" t="s">
        <v>130</v>
      </c>
      <c r="Q1" s="42" t="s">
        <v>131</v>
      </c>
      <c r="R1" s="42" t="s">
        <v>180</v>
      </c>
    </row>
    <row r="2" spans="1:26" x14ac:dyDescent="0.25">
      <c r="A2" s="31">
        <v>1</v>
      </c>
      <c r="B2" s="52">
        <v>45662</v>
      </c>
      <c r="C2" s="31" t="s">
        <v>153</v>
      </c>
      <c r="D2" s="31" t="s">
        <v>144</v>
      </c>
      <c r="E2" s="31" t="s">
        <v>181</v>
      </c>
      <c r="F2" s="31">
        <v>5</v>
      </c>
      <c r="G2" s="31">
        <v>150</v>
      </c>
      <c r="H2" s="31">
        <f t="shared" ref="H2:H11" si="0">F2*G2</f>
        <v>750</v>
      </c>
      <c r="K2" s="31"/>
      <c r="L2" s="53"/>
      <c r="M2" s="5" t="s">
        <v>143</v>
      </c>
      <c r="N2" s="5"/>
      <c r="O2" s="5"/>
      <c r="P2" s="5"/>
      <c r="Q2" s="5"/>
      <c r="R2" s="5"/>
    </row>
    <row r="3" spans="1:26" x14ac:dyDescent="0.25">
      <c r="A3" s="31">
        <v>2</v>
      </c>
      <c r="B3" s="52">
        <v>45665</v>
      </c>
      <c r="C3" s="31" t="s">
        <v>156</v>
      </c>
      <c r="D3" s="31" t="s">
        <v>151</v>
      </c>
      <c r="E3" s="31" t="s">
        <v>182</v>
      </c>
      <c r="F3" s="31">
        <v>3</v>
      </c>
      <c r="G3" s="31">
        <v>200</v>
      </c>
      <c r="H3" s="31">
        <f t="shared" si="0"/>
        <v>600</v>
      </c>
    </row>
    <row r="4" spans="1:26" x14ac:dyDescent="0.25">
      <c r="A4" s="31">
        <v>3</v>
      </c>
      <c r="B4" s="52">
        <v>45667</v>
      </c>
      <c r="C4" s="31" t="s">
        <v>153</v>
      </c>
      <c r="D4" s="31" t="s">
        <v>154</v>
      </c>
      <c r="E4" s="31" t="s">
        <v>141</v>
      </c>
      <c r="F4" s="31">
        <v>3</v>
      </c>
      <c r="G4" s="31">
        <v>1200</v>
      </c>
      <c r="H4" s="31">
        <f t="shared" si="0"/>
        <v>3600</v>
      </c>
    </row>
    <row r="5" spans="1:26" x14ac:dyDescent="0.25">
      <c r="A5" s="31">
        <v>4</v>
      </c>
      <c r="B5" s="52">
        <v>45667</v>
      </c>
      <c r="C5" s="31" t="s">
        <v>150</v>
      </c>
      <c r="D5" s="31" t="s">
        <v>144</v>
      </c>
      <c r="E5" s="31" t="s">
        <v>181</v>
      </c>
      <c r="F5" s="31">
        <v>6</v>
      </c>
      <c r="G5" s="31">
        <v>150</v>
      </c>
      <c r="H5" s="31">
        <f t="shared" si="0"/>
        <v>900</v>
      </c>
    </row>
    <row r="6" spans="1:26" x14ac:dyDescent="0.25">
      <c r="A6" s="31">
        <v>5</v>
      </c>
      <c r="B6" s="52">
        <v>45672</v>
      </c>
      <c r="C6" s="31" t="s">
        <v>143</v>
      </c>
      <c r="D6" s="31" t="s">
        <v>183</v>
      </c>
      <c r="E6" s="31" t="s">
        <v>182</v>
      </c>
      <c r="F6" s="31">
        <v>6</v>
      </c>
      <c r="G6" s="31">
        <v>200</v>
      </c>
      <c r="H6" s="31">
        <f t="shared" si="0"/>
        <v>1200</v>
      </c>
    </row>
    <row r="7" spans="1:26" x14ac:dyDescent="0.25">
      <c r="A7" s="31">
        <v>6</v>
      </c>
      <c r="B7" s="52">
        <v>45674</v>
      </c>
      <c r="C7" s="31" t="s">
        <v>153</v>
      </c>
      <c r="D7" s="31" t="s">
        <v>151</v>
      </c>
      <c r="E7" s="31" t="s">
        <v>141</v>
      </c>
      <c r="F7" s="31">
        <v>1</v>
      </c>
      <c r="G7" s="31">
        <v>1200</v>
      </c>
      <c r="H7" s="31">
        <f t="shared" si="0"/>
        <v>1200</v>
      </c>
    </row>
    <row r="8" spans="1:26" x14ac:dyDescent="0.25">
      <c r="A8" s="31">
        <v>7</v>
      </c>
      <c r="B8" s="52">
        <v>45677</v>
      </c>
      <c r="C8" s="31" t="s">
        <v>156</v>
      </c>
      <c r="D8" s="31" t="s">
        <v>154</v>
      </c>
      <c r="E8" s="31" t="s">
        <v>181</v>
      </c>
      <c r="F8" s="31">
        <v>3</v>
      </c>
      <c r="G8" s="31">
        <v>150</v>
      </c>
      <c r="H8" s="31">
        <f t="shared" si="0"/>
        <v>450</v>
      </c>
    </row>
    <row r="9" spans="1:26" x14ac:dyDescent="0.25">
      <c r="A9" s="31">
        <v>8</v>
      </c>
      <c r="B9" s="52">
        <v>45682</v>
      </c>
      <c r="C9" s="31" t="s">
        <v>143</v>
      </c>
      <c r="D9" s="31" t="s">
        <v>144</v>
      </c>
      <c r="E9" s="31" t="s">
        <v>182</v>
      </c>
      <c r="F9" s="31">
        <v>4</v>
      </c>
      <c r="G9" s="31">
        <v>200</v>
      </c>
      <c r="H9" s="31">
        <f t="shared" si="0"/>
        <v>800</v>
      </c>
    </row>
    <row r="10" spans="1:26" x14ac:dyDescent="0.25">
      <c r="A10" s="31">
        <v>9</v>
      </c>
      <c r="B10" s="52">
        <v>45685</v>
      </c>
      <c r="C10" s="31" t="s">
        <v>150</v>
      </c>
      <c r="D10" s="31" t="s">
        <v>183</v>
      </c>
      <c r="E10" s="31" t="s">
        <v>141</v>
      </c>
      <c r="F10" s="31">
        <v>5</v>
      </c>
      <c r="G10" s="31">
        <v>1200</v>
      </c>
      <c r="H10" s="31">
        <f t="shared" si="0"/>
        <v>6000</v>
      </c>
    </row>
    <row r="11" spans="1:26" x14ac:dyDescent="0.25">
      <c r="A11" s="31">
        <v>10</v>
      </c>
      <c r="B11" s="52">
        <v>45687</v>
      </c>
      <c r="C11" s="31" t="s">
        <v>153</v>
      </c>
      <c r="D11" s="31" t="s">
        <v>151</v>
      </c>
      <c r="E11" s="31" t="s">
        <v>181</v>
      </c>
      <c r="F11" s="31">
        <v>2</v>
      </c>
      <c r="G11" s="31">
        <v>150</v>
      </c>
      <c r="H11" s="31">
        <f t="shared" si="0"/>
        <v>300</v>
      </c>
    </row>
    <row r="13" spans="1:26" x14ac:dyDescent="0.25">
      <c r="A13" s="4"/>
      <c r="B13" s="54" t="s">
        <v>180</v>
      </c>
      <c r="C13" s="49" t="s">
        <v>131</v>
      </c>
      <c r="D13" s="4"/>
      <c r="E13" s="4"/>
      <c r="F13" s="4" t="s">
        <v>180</v>
      </c>
      <c r="G13" s="4"/>
      <c r="H13" s="4"/>
      <c r="I13" s="4"/>
      <c r="J13" s="4" t="s">
        <v>180</v>
      </c>
      <c r="K13" s="4"/>
      <c r="L13" s="4"/>
      <c r="M13" s="4" t="s">
        <v>180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7" t="s">
        <v>184</v>
      </c>
      <c r="B14" s="6" t="e">
        <f>DGET(A1:H11,B13,K1:R2)</f>
        <v>#NUM!</v>
      </c>
      <c r="C14" s="6"/>
      <c r="E14" s="55" t="s">
        <v>185</v>
      </c>
      <c r="F14" s="6">
        <f>DCOUNT(A1:H11,F13,K1:R2)</f>
        <v>2</v>
      </c>
      <c r="I14" s="7" t="s">
        <v>186</v>
      </c>
      <c r="J14" s="6">
        <f>DMAX(A1:H11,J13,K1:R2)</f>
        <v>1200</v>
      </c>
      <c r="L14" s="7" t="s">
        <v>187</v>
      </c>
      <c r="M14" s="6"/>
    </row>
    <row r="15" spans="1:26" x14ac:dyDescent="0.25">
      <c r="A15" s="7"/>
      <c r="B15" s="6" t="str">
        <f ca="1">_xlfn.FORMULATEXT(B14)</f>
        <v>=DGET(A1:H11,B13,K1:R2)</v>
      </c>
      <c r="C15" s="6" t="e">
        <f ca="1">_xlfn.FORMULATEXT(C14)</f>
        <v>#N/A</v>
      </c>
      <c r="E15" s="55"/>
      <c r="F15" s="6" t="str">
        <f ca="1">_xlfn.FORMULATEXT(F14)</f>
        <v>=DCOUNT(A1:H11,F13,K1:R2)</v>
      </c>
      <c r="I15" s="7"/>
      <c r="J15" s="6" t="str">
        <f ca="1">_xlfn.FORMULATEXT(J14)</f>
        <v>=DMAX(A1:H11,J13,K1:R2)</v>
      </c>
      <c r="L15" s="7"/>
      <c r="M15" s="6" t="e">
        <f ca="1">_xlfn.FORMULATEXT(M14)</f>
        <v>#N/A</v>
      </c>
    </row>
    <row r="17" spans="1:10" x14ac:dyDescent="0.25">
      <c r="B17" s="6" t="s">
        <v>180</v>
      </c>
      <c r="F17" s="75" t="s">
        <v>128</v>
      </c>
      <c r="J17" s="6" t="s">
        <v>180</v>
      </c>
    </row>
    <row r="18" spans="1:10" x14ac:dyDescent="0.25">
      <c r="A18" s="7" t="s">
        <v>188</v>
      </c>
      <c r="B18" s="6">
        <f>DSUM(A1:H11,B17,K1:R2)</f>
        <v>2000</v>
      </c>
      <c r="E18" s="7" t="s">
        <v>189</v>
      </c>
      <c r="F18" s="6">
        <f>DCOUNTA(A1:H11,F17,K1:R2)</f>
        <v>2</v>
      </c>
      <c r="I18" s="7" t="s">
        <v>190</v>
      </c>
      <c r="J18" s="6">
        <f>DMIN(A1:H11,J17,K1:R2)</f>
        <v>800</v>
      </c>
    </row>
    <row r="19" spans="1:10" x14ac:dyDescent="0.25">
      <c r="B19" s="6" t="str">
        <f ca="1">_xlfn.FORMULATEXT(B18)</f>
        <v>=DSUM(A1:H11,B17,K1:R2)</v>
      </c>
      <c r="F19" s="6" t="str">
        <f ca="1">_xlfn.FORMULATEXT(F18)</f>
        <v>=DCOUNTA(A1:H11,F17,K1:R2)</v>
      </c>
      <c r="J19" s="6" t="str">
        <f ca="1">_xlfn.FORMULATEXT(J18)</f>
        <v>=DMIN(A1:H11,J17,K1:R2)</v>
      </c>
    </row>
    <row r="20" spans="1:10" ht="14.25" customHeight="1" x14ac:dyDescent="0.25"/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N1000"/>
  <sheetViews>
    <sheetView workbookViewId="0">
      <selection activeCell="M13" sqref="M13"/>
    </sheetView>
  </sheetViews>
  <sheetFormatPr defaultColWidth="14.42578125" defaultRowHeight="15" customHeight="1" x14ac:dyDescent="0.25"/>
  <cols>
    <col min="1" max="1" width="8.7109375" customWidth="1"/>
    <col min="2" max="2" width="10.140625" customWidth="1"/>
    <col min="3" max="3" width="13.7109375" customWidth="1"/>
    <col min="4" max="4" width="10.5703125" customWidth="1"/>
    <col min="5" max="5" width="8.5703125" customWidth="1"/>
    <col min="6" max="6" width="11.7109375" customWidth="1"/>
    <col min="7" max="7" width="9.85546875" customWidth="1"/>
    <col min="8" max="8" width="9.5703125" customWidth="1"/>
    <col min="9" max="9" width="10.28515625" customWidth="1"/>
    <col min="10" max="10" width="8.85546875" customWidth="1"/>
    <col min="11" max="14" width="8.7109375" customWidth="1"/>
  </cols>
  <sheetData>
    <row r="1" spans="1:14" ht="30" x14ac:dyDescent="0.25">
      <c r="A1" s="42" t="s">
        <v>125</v>
      </c>
      <c r="B1" s="42" t="s">
        <v>126</v>
      </c>
      <c r="C1" s="42" t="s">
        <v>127</v>
      </c>
      <c r="D1" s="42" t="s">
        <v>128</v>
      </c>
      <c r="E1" s="42" t="s">
        <v>129</v>
      </c>
      <c r="F1" s="42" t="s">
        <v>130</v>
      </c>
      <c r="G1" s="42" t="s">
        <v>131</v>
      </c>
      <c r="H1" s="42" t="s">
        <v>132</v>
      </c>
      <c r="I1" s="42" t="s">
        <v>55</v>
      </c>
    </row>
    <row r="2" spans="1:14" x14ac:dyDescent="0.25">
      <c r="A2" s="31" t="s">
        <v>133</v>
      </c>
      <c r="B2" s="31" t="s">
        <v>141</v>
      </c>
      <c r="C2" s="31" t="s">
        <v>142</v>
      </c>
      <c r="D2" s="31" t="s">
        <v>143</v>
      </c>
      <c r="E2" s="31" t="s">
        <v>144</v>
      </c>
      <c r="F2" s="31">
        <v>10</v>
      </c>
      <c r="G2" s="31">
        <v>600</v>
      </c>
      <c r="H2" s="31">
        <f t="shared" ref="H2:H9" si="0">PRODUCT(F2,G2)</f>
        <v>6000</v>
      </c>
      <c r="I2" s="31" t="s">
        <v>145</v>
      </c>
    </row>
    <row r="3" spans="1:14" x14ac:dyDescent="0.25">
      <c r="A3" s="31" t="s">
        <v>134</v>
      </c>
      <c r="B3" s="31" t="s">
        <v>146</v>
      </c>
      <c r="C3" s="31" t="s">
        <v>142</v>
      </c>
      <c r="D3" s="31" t="s">
        <v>150</v>
      </c>
      <c r="E3" s="31" t="s">
        <v>151</v>
      </c>
      <c r="F3" s="31">
        <v>15</v>
      </c>
      <c r="G3" s="31">
        <v>400</v>
      </c>
      <c r="H3" s="31">
        <f t="shared" si="0"/>
        <v>6000</v>
      </c>
      <c r="I3" s="31" t="s">
        <v>145</v>
      </c>
      <c r="M3" s="75" t="s">
        <v>334</v>
      </c>
      <c r="N3">
        <f ca="1">SUM(OFFSET(A1,1,7,9,1))</f>
        <v>34900</v>
      </c>
    </row>
    <row r="4" spans="1:14" x14ac:dyDescent="0.25">
      <c r="A4" s="31" t="s">
        <v>135</v>
      </c>
      <c r="B4" s="31" t="s">
        <v>147</v>
      </c>
      <c r="C4" s="31" t="s">
        <v>152</v>
      </c>
      <c r="D4" s="31" t="s">
        <v>153</v>
      </c>
      <c r="E4" s="31" t="s">
        <v>154</v>
      </c>
      <c r="F4" s="31">
        <v>20</v>
      </c>
      <c r="G4" s="31">
        <v>100</v>
      </c>
      <c r="H4" s="31">
        <f t="shared" si="0"/>
        <v>2000</v>
      </c>
      <c r="I4" s="31" t="s">
        <v>155</v>
      </c>
    </row>
    <row r="5" spans="1:14" x14ac:dyDescent="0.25">
      <c r="A5" s="31" t="s">
        <v>136</v>
      </c>
      <c r="B5" s="31" t="s">
        <v>148</v>
      </c>
      <c r="C5" s="31" t="s">
        <v>152</v>
      </c>
      <c r="D5" s="31" t="s">
        <v>156</v>
      </c>
      <c r="E5" s="31" t="s">
        <v>144</v>
      </c>
      <c r="F5" s="31">
        <v>12</v>
      </c>
      <c r="G5" s="31">
        <v>200</v>
      </c>
      <c r="H5" s="31">
        <f t="shared" si="0"/>
        <v>2400</v>
      </c>
      <c r="I5" s="31" t="s">
        <v>155</v>
      </c>
    </row>
    <row r="6" spans="1:14" x14ac:dyDescent="0.25">
      <c r="A6" s="31" t="s">
        <v>137</v>
      </c>
      <c r="B6" s="31" t="s">
        <v>141</v>
      </c>
      <c r="C6" s="31" t="s">
        <v>142</v>
      </c>
      <c r="D6" s="31" t="s">
        <v>143</v>
      </c>
      <c r="E6" s="31" t="s">
        <v>151</v>
      </c>
      <c r="F6" s="31">
        <v>8</v>
      </c>
      <c r="G6" s="31">
        <v>600</v>
      </c>
      <c r="H6" s="31">
        <f t="shared" si="0"/>
        <v>4800</v>
      </c>
      <c r="I6" s="31" t="s">
        <v>90</v>
      </c>
      <c r="N6">
        <f ca="1">SUM(OFFSET(A1,COUNTA(H1:H10)-1,7,-3,1))</f>
        <v>11200</v>
      </c>
    </row>
    <row r="7" spans="1:14" x14ac:dyDescent="0.25">
      <c r="A7" s="31" t="s">
        <v>138</v>
      </c>
      <c r="B7" s="31" t="s">
        <v>149</v>
      </c>
      <c r="C7" s="31" t="s">
        <v>152</v>
      </c>
      <c r="D7" s="31" t="s">
        <v>150</v>
      </c>
      <c r="E7" s="31" t="s">
        <v>154</v>
      </c>
      <c r="F7" s="31">
        <v>5</v>
      </c>
      <c r="G7" s="31">
        <v>500</v>
      </c>
      <c r="H7" s="31">
        <f t="shared" si="0"/>
        <v>2500</v>
      </c>
      <c r="I7" s="31" t="s">
        <v>90</v>
      </c>
    </row>
    <row r="8" spans="1:14" x14ac:dyDescent="0.25">
      <c r="A8" s="31" t="s">
        <v>139</v>
      </c>
      <c r="B8" s="31" t="s">
        <v>146</v>
      </c>
      <c r="C8" s="31" t="s">
        <v>142</v>
      </c>
      <c r="D8" s="31" t="s">
        <v>153</v>
      </c>
      <c r="E8" s="31" t="s">
        <v>144</v>
      </c>
      <c r="F8" s="31">
        <v>18</v>
      </c>
      <c r="G8" s="31">
        <v>400</v>
      </c>
      <c r="H8" s="31">
        <f t="shared" si="0"/>
        <v>7200</v>
      </c>
      <c r="I8" s="31" t="s">
        <v>157</v>
      </c>
    </row>
    <row r="9" spans="1:14" x14ac:dyDescent="0.25">
      <c r="A9" s="31" t="s">
        <v>140</v>
      </c>
      <c r="B9" s="31" t="s">
        <v>148</v>
      </c>
      <c r="C9" s="31" t="s">
        <v>152</v>
      </c>
      <c r="D9" s="31" t="s">
        <v>156</v>
      </c>
      <c r="E9" s="31" t="s">
        <v>100</v>
      </c>
      <c r="F9" s="31">
        <v>10</v>
      </c>
      <c r="G9" s="31">
        <v>200</v>
      </c>
      <c r="H9" s="31">
        <f t="shared" si="0"/>
        <v>2000</v>
      </c>
      <c r="I9" s="31" t="s">
        <v>157</v>
      </c>
    </row>
    <row r="10" spans="1:14" ht="15" customHeight="1" x14ac:dyDescent="0.25">
      <c r="A10" s="31" t="s">
        <v>140</v>
      </c>
      <c r="B10" s="31" t="s">
        <v>148</v>
      </c>
      <c r="C10" s="31" t="s">
        <v>152</v>
      </c>
      <c r="D10" s="31" t="s">
        <v>156</v>
      </c>
      <c r="E10" s="31" t="s">
        <v>100</v>
      </c>
      <c r="F10" s="31">
        <v>10</v>
      </c>
      <c r="G10" s="31">
        <v>200</v>
      </c>
      <c r="H10" s="31">
        <f t="shared" ref="H10" si="1">PRODUCT(F10,G10)</f>
        <v>2000</v>
      </c>
      <c r="I10" s="31" t="s">
        <v>157</v>
      </c>
    </row>
    <row r="11" spans="1:14" x14ac:dyDescent="0.25">
      <c r="B11" s="6" t="str">
        <f ca="1">_xlfn.FORMULATEXT(B13)</f>
        <v>=FILTER(A1:I9,E1:E9=B12,"Na")</v>
      </c>
    </row>
    <row r="12" spans="1:14" x14ac:dyDescent="0.25">
      <c r="A12" s="49" t="s">
        <v>215</v>
      </c>
      <c r="B12" s="41" t="s">
        <v>151</v>
      </c>
    </row>
    <row r="13" spans="1:14" x14ac:dyDescent="0.25">
      <c r="B13" s="6" t="str" cm="1">
        <f t="array" ref="B13:J14">_xlfn._xlws.FILTER(A1:I9,E1:E9=B12,"Na")</f>
        <v>P002</v>
      </c>
      <c r="C13" t="str">
        <v>Mobile</v>
      </c>
      <c r="D13" t="str">
        <v>Electronics</v>
      </c>
      <c r="E13" t="str">
        <v>South</v>
      </c>
      <c r="F13" t="str">
        <v>Bob</v>
      </c>
      <c r="G13">
        <v>15</v>
      </c>
      <c r="H13">
        <v>400</v>
      </c>
      <c r="I13">
        <v>6000</v>
      </c>
      <c r="J13" t="str">
        <v>January</v>
      </c>
    </row>
    <row r="14" spans="1:14" x14ac:dyDescent="0.25">
      <c r="B14" t="str">
        <v>P005</v>
      </c>
      <c r="C14" t="str">
        <v>Laptop</v>
      </c>
      <c r="D14" t="str">
        <v>Electronics</v>
      </c>
      <c r="E14" t="str">
        <v>North</v>
      </c>
      <c r="F14" t="str">
        <v>Bob</v>
      </c>
      <c r="G14">
        <v>8</v>
      </c>
      <c r="H14">
        <v>600</v>
      </c>
      <c r="I14">
        <v>4800</v>
      </c>
      <c r="J14" t="str">
        <v>March</v>
      </c>
    </row>
    <row r="21" spans="1:10" ht="15.75" customHeight="1" x14ac:dyDescent="0.25"/>
    <row r="22" spans="1:10" ht="15.75" customHeight="1" x14ac:dyDescent="0.25">
      <c r="A22" s="8" t="s">
        <v>216</v>
      </c>
      <c r="B22" s="6" t="str">
        <f ca="1">_xlfn.FORMULATEXT(B23)</f>
        <v>=SORT(A2:I9,4,-1,FALSE)</v>
      </c>
    </row>
    <row r="23" spans="1:10" ht="15.75" customHeight="1" x14ac:dyDescent="0.25">
      <c r="B23" s="6" t="str" cm="1">
        <f t="array" ref="B23:J30">_xlfn._xlws.SORT(A2:I9,4,-1,FALSE)</f>
        <v>P004</v>
      </c>
      <c r="C23" t="str">
        <v>Table</v>
      </c>
      <c r="D23" t="str">
        <v>Furniture</v>
      </c>
      <c r="E23" t="str">
        <v>West</v>
      </c>
      <c r="F23" t="str">
        <v>Alice</v>
      </c>
      <c r="G23">
        <v>12</v>
      </c>
      <c r="H23">
        <v>200</v>
      </c>
      <c r="I23">
        <v>2400</v>
      </c>
      <c r="J23" t="str">
        <v>February</v>
      </c>
    </row>
    <row r="24" spans="1:10" ht="15.75" customHeight="1" x14ac:dyDescent="0.25">
      <c r="B24" t="str">
        <v>P008</v>
      </c>
      <c r="C24" t="str">
        <v>Table</v>
      </c>
      <c r="D24" t="str">
        <v>Furniture</v>
      </c>
      <c r="E24" t="str">
        <v>West</v>
      </c>
      <c r="F24" t="str">
        <v>Rohit</v>
      </c>
      <c r="G24">
        <v>10</v>
      </c>
      <c r="H24">
        <v>200</v>
      </c>
      <c r="I24">
        <v>2000</v>
      </c>
      <c r="J24" t="str">
        <v>April</v>
      </c>
    </row>
    <row r="25" spans="1:10" ht="15.75" customHeight="1" x14ac:dyDescent="0.25">
      <c r="B25" t="str">
        <v>P002</v>
      </c>
      <c r="C25" t="str">
        <v>Mobile</v>
      </c>
      <c r="D25" t="str">
        <v>Electronics</v>
      </c>
      <c r="E25" t="str">
        <v>South</v>
      </c>
      <c r="F25" t="str">
        <v>Bob</v>
      </c>
      <c r="G25">
        <v>15</v>
      </c>
      <c r="H25">
        <v>400</v>
      </c>
      <c r="I25">
        <v>6000</v>
      </c>
      <c r="J25" t="str">
        <v>January</v>
      </c>
    </row>
    <row r="26" spans="1:10" ht="15.75" customHeight="1" x14ac:dyDescent="0.25">
      <c r="B26" t="str">
        <v>P006</v>
      </c>
      <c r="C26" t="str">
        <v>Sofa</v>
      </c>
      <c r="D26" t="str">
        <v>Furniture</v>
      </c>
      <c r="E26" t="str">
        <v>South</v>
      </c>
      <c r="F26" t="str">
        <v>Charlie</v>
      </c>
      <c r="G26">
        <v>5</v>
      </c>
      <c r="H26">
        <v>500</v>
      </c>
      <c r="I26">
        <v>2500</v>
      </c>
      <c r="J26" t="str">
        <v>March</v>
      </c>
    </row>
    <row r="27" spans="1:10" ht="15.75" customHeight="1" x14ac:dyDescent="0.25">
      <c r="B27" t="str">
        <v>P001</v>
      </c>
      <c r="C27" t="str">
        <v>Laptop</v>
      </c>
      <c r="D27" t="str">
        <v>Electronics</v>
      </c>
      <c r="E27" t="str">
        <v>North</v>
      </c>
      <c r="F27" t="str">
        <v>Alice</v>
      </c>
      <c r="G27">
        <v>10</v>
      </c>
      <c r="H27">
        <v>600</v>
      </c>
      <c r="I27">
        <v>6000</v>
      </c>
      <c r="J27" t="str">
        <v>January</v>
      </c>
    </row>
    <row r="28" spans="1:10" ht="15.75" customHeight="1" x14ac:dyDescent="0.25">
      <c r="B28" t="str">
        <v>P005</v>
      </c>
      <c r="C28" t="str">
        <v>Laptop</v>
      </c>
      <c r="D28" t="str">
        <v>Electronics</v>
      </c>
      <c r="E28" t="str">
        <v>North</v>
      </c>
      <c r="F28" t="str">
        <v>Bob</v>
      </c>
      <c r="G28">
        <v>8</v>
      </c>
      <c r="H28">
        <v>600</v>
      </c>
      <c r="I28">
        <v>4800</v>
      </c>
      <c r="J28" t="str">
        <v>March</v>
      </c>
    </row>
    <row r="29" spans="1:10" ht="15.75" customHeight="1" x14ac:dyDescent="0.25">
      <c r="B29" t="str">
        <v>P003</v>
      </c>
      <c r="C29" t="str">
        <v>Chair</v>
      </c>
      <c r="D29" t="str">
        <v>Furniture</v>
      </c>
      <c r="E29" t="str">
        <v>East</v>
      </c>
      <c r="F29" t="str">
        <v>Charlie</v>
      </c>
      <c r="G29">
        <v>20</v>
      </c>
      <c r="H29">
        <v>100</v>
      </c>
      <c r="I29">
        <v>2000</v>
      </c>
      <c r="J29" t="str">
        <v>February</v>
      </c>
    </row>
    <row r="30" spans="1:10" ht="15.75" customHeight="1" x14ac:dyDescent="0.25">
      <c r="B30" t="str">
        <v>P007</v>
      </c>
      <c r="C30" t="str">
        <v>Mobile</v>
      </c>
      <c r="D30" t="str">
        <v>Electronics</v>
      </c>
      <c r="E30" t="str">
        <v>East</v>
      </c>
      <c r="F30" t="str">
        <v>Alice</v>
      </c>
      <c r="G30">
        <v>18</v>
      </c>
      <c r="H30">
        <v>400</v>
      </c>
      <c r="I30">
        <v>7200</v>
      </c>
      <c r="J30" t="str">
        <v>April</v>
      </c>
    </row>
    <row r="31" spans="1:10" ht="15.75" customHeight="1" x14ac:dyDescent="0.25"/>
    <row r="32" spans="1:10" ht="15.75" customHeight="1" x14ac:dyDescent="0.25">
      <c r="A32" s="8" t="s">
        <v>217</v>
      </c>
      <c r="B32" s="6" t="str">
        <f ca="1">_xlfn.FORMULATEXT(B33)</f>
        <v>=UNIQUE(I2:I10,FALSE,TRUE)</v>
      </c>
    </row>
    <row r="33" spans="2:2" ht="15.75" customHeight="1" x14ac:dyDescent="0.25">
      <c r="B33" s="6" t="e" cm="1" vm="1">
        <f t="array" ref="B33">_xlfn.UNIQUE(I2:I10,FALSE,TRUE)</f>
        <v>#VALUE!</v>
      </c>
    </row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S1001"/>
  <sheetViews>
    <sheetView workbookViewId="0">
      <selection activeCell="B40" sqref="B40"/>
    </sheetView>
  </sheetViews>
  <sheetFormatPr defaultColWidth="14.42578125" defaultRowHeight="15" customHeight="1" x14ac:dyDescent="0.25"/>
  <cols>
    <col min="1" max="1" width="19" customWidth="1"/>
    <col min="2" max="2" width="14.140625" customWidth="1"/>
    <col min="3" max="3" width="12.140625" customWidth="1"/>
    <col min="4" max="4" width="8.7109375" customWidth="1"/>
    <col min="5" max="5" width="13.42578125" customWidth="1"/>
    <col min="6" max="7" width="8.7109375" customWidth="1"/>
    <col min="8" max="8" width="9.28515625" customWidth="1"/>
    <col min="9" max="9" width="8.7109375" customWidth="1"/>
    <col min="10" max="10" width="10" customWidth="1"/>
    <col min="11" max="11" width="13.7109375" customWidth="1"/>
    <col min="12" max="12" width="8.7109375" customWidth="1"/>
    <col min="13" max="13" width="10.5703125" customWidth="1"/>
    <col min="14" max="14" width="21" customWidth="1"/>
    <col min="15" max="15" width="15.7109375" customWidth="1"/>
    <col min="16" max="26" width="8.7109375" customWidth="1"/>
  </cols>
  <sheetData>
    <row r="1" spans="1:19" ht="15.75" thickBot="1" x14ac:dyDescent="0.3">
      <c r="A1" s="6" t="s">
        <v>122</v>
      </c>
      <c r="K1" s="6" t="s">
        <v>123</v>
      </c>
      <c r="M1" s="7" t="s">
        <v>124</v>
      </c>
      <c r="N1" s="6" t="str">
        <f ca="1">_xlfn.FORMULATEXT(K2)</f>
        <v>=TRANSPOSE(A2:I10)</v>
      </c>
    </row>
    <row r="2" spans="1:19" ht="30.75" thickBot="1" x14ac:dyDescent="0.3">
      <c r="A2" s="77" t="s">
        <v>125</v>
      </c>
      <c r="B2" s="78" t="s">
        <v>126</v>
      </c>
      <c r="C2" s="78" t="s">
        <v>127</v>
      </c>
      <c r="D2" s="78" t="s">
        <v>128</v>
      </c>
      <c r="E2" s="78" t="s">
        <v>129</v>
      </c>
      <c r="F2" s="78" t="s">
        <v>130</v>
      </c>
      <c r="G2" s="78" t="s">
        <v>131</v>
      </c>
      <c r="H2" s="78" t="s">
        <v>132</v>
      </c>
      <c r="I2" s="79" t="s">
        <v>55</v>
      </c>
      <c r="K2" s="83" t="str" cm="1">
        <f t="array" ref="K2:S10">TRANSPOSE(A2:I10)</f>
        <v>Product ID</v>
      </c>
      <c r="L2" s="84" t="str">
        <v>P001</v>
      </c>
      <c r="M2" s="84" t="str">
        <v>P002</v>
      </c>
      <c r="N2" s="84" t="str">
        <v>P003</v>
      </c>
      <c r="O2" s="84" t="str">
        <v>P004</v>
      </c>
      <c r="P2" s="84" t="str">
        <v>P005</v>
      </c>
      <c r="Q2" s="84" t="str">
        <v>P006</v>
      </c>
      <c r="R2" s="84" t="str">
        <v>P007</v>
      </c>
      <c r="S2" s="85" t="str">
        <v>P008</v>
      </c>
    </row>
    <row r="3" spans="1:19" x14ac:dyDescent="0.25">
      <c r="A3" s="43" t="s">
        <v>133</v>
      </c>
      <c r="B3" s="44" t="s">
        <v>141</v>
      </c>
      <c r="C3" s="44" t="s">
        <v>142</v>
      </c>
      <c r="D3" s="44" t="s">
        <v>143</v>
      </c>
      <c r="E3" s="44" t="s">
        <v>144</v>
      </c>
      <c r="F3" s="87">
        <v>0.9</v>
      </c>
      <c r="G3" s="44">
        <v>600</v>
      </c>
      <c r="H3" s="44">
        <f t="shared" ref="H3:H10" si="0">PRODUCT(F3,G3)</f>
        <v>540</v>
      </c>
      <c r="I3" s="80" t="s">
        <v>145</v>
      </c>
      <c r="K3" s="81" t="str">
        <v>Product Name</v>
      </c>
      <c r="L3" s="82" t="str">
        <v>Laptop</v>
      </c>
      <c r="M3" s="82" t="str">
        <v>Mobile</v>
      </c>
      <c r="N3" s="82" t="str">
        <v>Chair</v>
      </c>
      <c r="O3" s="82" t="str">
        <v>Table</v>
      </c>
      <c r="P3" s="82" t="str">
        <v>Laptop</v>
      </c>
      <c r="Q3" s="82" t="str">
        <v>Sofa</v>
      </c>
      <c r="R3" s="82" t="str">
        <v>Mobile</v>
      </c>
      <c r="S3" s="45" t="str">
        <v>Table</v>
      </c>
    </row>
    <row r="4" spans="1:19" x14ac:dyDescent="0.25">
      <c r="A4" s="30" t="s">
        <v>134</v>
      </c>
      <c r="B4" s="31" t="s">
        <v>146</v>
      </c>
      <c r="C4" s="31" t="s">
        <v>142</v>
      </c>
      <c r="D4" s="31" t="s">
        <v>150</v>
      </c>
      <c r="E4" s="31" t="s">
        <v>151</v>
      </c>
      <c r="F4" s="88">
        <v>0.7</v>
      </c>
      <c r="G4" s="31">
        <v>400</v>
      </c>
      <c r="H4" s="31">
        <f t="shared" si="0"/>
        <v>280</v>
      </c>
      <c r="I4" s="32" t="s">
        <v>145</v>
      </c>
      <c r="K4" s="33" t="str">
        <v>Category</v>
      </c>
      <c r="L4" s="5" t="str">
        <v>Electronics</v>
      </c>
      <c r="M4" s="5" t="str">
        <v>Electronics</v>
      </c>
      <c r="N4" s="5" t="str">
        <v>Furniture</v>
      </c>
      <c r="O4" s="5" t="str">
        <v>Furniture</v>
      </c>
      <c r="P4" s="5" t="str">
        <v>Electronics</v>
      </c>
      <c r="Q4" s="5" t="str">
        <v>Furniture</v>
      </c>
      <c r="R4" s="5" t="str">
        <v>Electronics</v>
      </c>
      <c r="S4" s="34" t="str">
        <v>Furniture</v>
      </c>
    </row>
    <row r="5" spans="1:19" ht="30" x14ac:dyDescent="0.25">
      <c r="A5" s="30" t="s">
        <v>135</v>
      </c>
      <c r="B5" s="31" t="s">
        <v>147</v>
      </c>
      <c r="C5" s="31" t="s">
        <v>152</v>
      </c>
      <c r="D5" s="31" t="s">
        <v>153</v>
      </c>
      <c r="E5" s="31" t="s">
        <v>154</v>
      </c>
      <c r="F5" s="88">
        <v>0.5</v>
      </c>
      <c r="G5" s="31">
        <v>100</v>
      </c>
      <c r="H5" s="31">
        <f t="shared" si="0"/>
        <v>50</v>
      </c>
      <c r="I5" s="32" t="s">
        <v>155</v>
      </c>
      <c r="K5" s="33" t="str">
        <v>Region</v>
      </c>
      <c r="L5" s="5" t="str">
        <v>North</v>
      </c>
      <c r="M5" s="5" t="str">
        <v>South</v>
      </c>
      <c r="N5" s="5" t="str">
        <v>East</v>
      </c>
      <c r="O5" s="5" t="str">
        <v>West</v>
      </c>
      <c r="P5" s="5" t="str">
        <v>North</v>
      </c>
      <c r="Q5" s="5" t="str">
        <v>South</v>
      </c>
      <c r="R5" s="5" t="str">
        <v>East</v>
      </c>
      <c r="S5" s="34" t="str">
        <v>West</v>
      </c>
    </row>
    <row r="6" spans="1:19" ht="30" x14ac:dyDescent="0.25">
      <c r="A6" s="30" t="s">
        <v>136</v>
      </c>
      <c r="B6" s="31" t="s">
        <v>148</v>
      </c>
      <c r="C6" s="31" t="s">
        <v>152</v>
      </c>
      <c r="D6" s="31" t="s">
        <v>156</v>
      </c>
      <c r="E6" s="31" t="s">
        <v>144</v>
      </c>
      <c r="F6" s="88">
        <v>0.6</v>
      </c>
      <c r="G6" s="31">
        <v>200</v>
      </c>
      <c r="H6" s="31">
        <f t="shared" si="0"/>
        <v>120</v>
      </c>
      <c r="I6" s="32" t="s">
        <v>155</v>
      </c>
      <c r="K6" s="33" t="str">
        <v>Salesperson</v>
      </c>
      <c r="L6" s="5" t="str">
        <v>Alice</v>
      </c>
      <c r="M6" s="5" t="str">
        <v>Bob</v>
      </c>
      <c r="N6" s="5" t="str">
        <v>Charlie</v>
      </c>
      <c r="O6" s="5" t="str">
        <v>Alice</v>
      </c>
      <c r="P6" s="5" t="str">
        <v>Bob</v>
      </c>
      <c r="Q6" s="5" t="str">
        <v>Charlie</v>
      </c>
      <c r="R6" s="5" t="str">
        <v>Alice</v>
      </c>
      <c r="S6" s="34" t="str">
        <v>Bob</v>
      </c>
    </row>
    <row r="7" spans="1:19" x14ac:dyDescent="0.25">
      <c r="A7" s="30" t="s">
        <v>137</v>
      </c>
      <c r="B7" s="31" t="s">
        <v>141</v>
      </c>
      <c r="C7" s="31" t="s">
        <v>142</v>
      </c>
      <c r="D7" s="31" t="s">
        <v>143</v>
      </c>
      <c r="E7" s="31" t="s">
        <v>151</v>
      </c>
      <c r="F7" s="88">
        <v>0.8</v>
      </c>
      <c r="G7" s="31">
        <v>600</v>
      </c>
      <c r="H7" s="31">
        <f t="shared" si="0"/>
        <v>480</v>
      </c>
      <c r="I7" s="32" t="s">
        <v>90</v>
      </c>
      <c r="K7" s="33" t="str">
        <v>Units Sold</v>
      </c>
      <c r="L7" s="5">
        <v>0.9</v>
      </c>
      <c r="M7" s="5">
        <v>0.7</v>
      </c>
      <c r="N7" s="5">
        <v>0.5</v>
      </c>
      <c r="O7" s="5">
        <v>0.6</v>
      </c>
      <c r="P7" s="5">
        <v>0.8</v>
      </c>
      <c r="Q7" s="5">
        <v>0.5</v>
      </c>
      <c r="R7" s="5">
        <v>0.4</v>
      </c>
      <c r="S7" s="34">
        <v>0.9</v>
      </c>
    </row>
    <row r="8" spans="1:19" x14ac:dyDescent="0.25">
      <c r="A8" s="30" t="s">
        <v>138</v>
      </c>
      <c r="B8" s="31" t="s">
        <v>149</v>
      </c>
      <c r="C8" s="31" t="s">
        <v>152</v>
      </c>
      <c r="D8" s="31" t="s">
        <v>150</v>
      </c>
      <c r="E8" s="31" t="s">
        <v>154</v>
      </c>
      <c r="F8" s="88">
        <v>0.5</v>
      </c>
      <c r="G8" s="31">
        <v>500</v>
      </c>
      <c r="H8" s="31">
        <f t="shared" si="0"/>
        <v>250</v>
      </c>
      <c r="I8" s="32" t="s">
        <v>90</v>
      </c>
      <c r="K8" s="33" t="str">
        <v>Unit Price</v>
      </c>
      <c r="L8" s="5">
        <v>600</v>
      </c>
      <c r="M8" s="5">
        <v>400</v>
      </c>
      <c r="N8" s="5">
        <v>100</v>
      </c>
      <c r="O8" s="5">
        <v>200</v>
      </c>
      <c r="P8" s="5">
        <v>600</v>
      </c>
      <c r="Q8" s="5">
        <v>500</v>
      </c>
      <c r="R8" s="5">
        <v>400</v>
      </c>
      <c r="S8" s="34">
        <v>200</v>
      </c>
    </row>
    <row r="9" spans="1:19" x14ac:dyDescent="0.25">
      <c r="A9" s="30" t="s">
        <v>139</v>
      </c>
      <c r="B9" s="31" t="s">
        <v>146</v>
      </c>
      <c r="C9" s="31" t="s">
        <v>142</v>
      </c>
      <c r="D9" s="31" t="s">
        <v>153</v>
      </c>
      <c r="E9" s="31" t="s">
        <v>144</v>
      </c>
      <c r="F9" s="88">
        <v>0.4</v>
      </c>
      <c r="G9" s="31">
        <v>400</v>
      </c>
      <c r="H9" s="31">
        <f t="shared" si="0"/>
        <v>160</v>
      </c>
      <c r="I9" s="32" t="s">
        <v>157</v>
      </c>
      <c r="K9" s="33" t="str">
        <v>Sale Value</v>
      </c>
      <c r="L9" s="5">
        <v>540</v>
      </c>
      <c r="M9" s="5">
        <v>280</v>
      </c>
      <c r="N9" s="5">
        <v>50</v>
      </c>
      <c r="O9" s="5">
        <v>120</v>
      </c>
      <c r="P9" s="5">
        <v>480</v>
      </c>
      <c r="Q9" s="5">
        <v>250</v>
      </c>
      <c r="R9" s="5">
        <v>160</v>
      </c>
      <c r="S9" s="34">
        <v>180</v>
      </c>
    </row>
    <row r="10" spans="1:19" x14ac:dyDescent="0.25">
      <c r="A10" s="35" t="s">
        <v>140</v>
      </c>
      <c r="B10" s="36" t="s">
        <v>148</v>
      </c>
      <c r="C10" s="36" t="s">
        <v>152</v>
      </c>
      <c r="D10" s="36" t="s">
        <v>156</v>
      </c>
      <c r="E10" s="36" t="s">
        <v>151</v>
      </c>
      <c r="F10" s="89">
        <v>0.9</v>
      </c>
      <c r="G10" s="36">
        <v>200</v>
      </c>
      <c r="H10" s="36">
        <f t="shared" si="0"/>
        <v>180</v>
      </c>
      <c r="I10" s="37" t="s">
        <v>158</v>
      </c>
      <c r="K10" s="38" t="str">
        <v>Month</v>
      </c>
      <c r="L10" s="39" t="str">
        <v>January</v>
      </c>
      <c r="M10" s="39" t="str">
        <v>January</v>
      </c>
      <c r="N10" s="39" t="str">
        <v>February</v>
      </c>
      <c r="O10" s="39" t="str">
        <v>February</v>
      </c>
      <c r="P10" s="39" t="str">
        <v>March</v>
      </c>
      <c r="Q10" s="39" t="str">
        <v>March</v>
      </c>
      <c r="R10" s="39" t="str">
        <v>April</v>
      </c>
      <c r="S10" s="40" t="str">
        <v>May</v>
      </c>
    </row>
    <row r="12" spans="1:19" x14ac:dyDescent="0.25">
      <c r="B12" s="41"/>
    </row>
    <row r="13" spans="1:19" x14ac:dyDescent="0.25">
      <c r="A13" s="8" t="s">
        <v>159</v>
      </c>
      <c r="B13" s="8"/>
      <c r="C13" s="8"/>
      <c r="K13" s="8" t="s">
        <v>160</v>
      </c>
      <c r="L13" s="8"/>
      <c r="M13" s="8"/>
    </row>
    <row r="15" spans="1:19" x14ac:dyDescent="0.25">
      <c r="A15" s="6" t="s">
        <v>161</v>
      </c>
      <c r="B15" s="6" t="s">
        <v>162</v>
      </c>
      <c r="K15" s="6" t="s">
        <v>161</v>
      </c>
      <c r="L15" s="6" t="s">
        <v>162</v>
      </c>
    </row>
    <row r="16" spans="1:19" x14ac:dyDescent="0.25">
      <c r="A16" s="75" t="s">
        <v>136</v>
      </c>
      <c r="B16" s="6">
        <f>VLOOKUP(A16,A2:I10,6,0)</f>
        <v>0.6</v>
      </c>
      <c r="C16" s="6"/>
      <c r="K16" s="6" t="s">
        <v>139</v>
      </c>
      <c r="L16" s="6">
        <f>HLOOKUP(K16,_xlfn.ANCHORARRAY(K2),6,0)</f>
        <v>0.4</v>
      </c>
      <c r="M16" s="6"/>
    </row>
    <row r="18" spans="1:16" x14ac:dyDescent="0.25">
      <c r="A18" s="86" t="s">
        <v>163</v>
      </c>
      <c r="K18" s="86" t="s">
        <v>163</v>
      </c>
    </row>
    <row r="19" spans="1:16" x14ac:dyDescent="0.25">
      <c r="A19" s="6" t="s">
        <v>161</v>
      </c>
      <c r="B19" s="6" t="s">
        <v>162</v>
      </c>
      <c r="K19" s="6" t="s">
        <v>161</v>
      </c>
      <c r="L19" s="6" t="s">
        <v>162</v>
      </c>
    </row>
    <row r="20" spans="1:16" x14ac:dyDescent="0.25">
      <c r="A20" s="75" t="s">
        <v>140</v>
      </c>
      <c r="B20" s="6" t="str">
        <f>_xlfn.XLOOKUP(A20,A2:A10,I2:I10,"NA",0,1)</f>
        <v>May</v>
      </c>
      <c r="K20" s="6" t="s">
        <v>135</v>
      </c>
      <c r="L20" s="6">
        <f>_xlfn.XLOOKUP(K20,K2:S2,K9:S9,"NA",0,1)</f>
        <v>50</v>
      </c>
    </row>
    <row r="21" spans="1:16" ht="15.75" customHeight="1" x14ac:dyDescent="0.25"/>
    <row r="22" spans="1:16" ht="15.75" customHeight="1" x14ac:dyDescent="0.25"/>
    <row r="23" spans="1:16" ht="15.75" customHeight="1" thickBot="1" x14ac:dyDescent="0.3"/>
    <row r="24" spans="1:16" ht="30.75" thickBot="1" x14ac:dyDescent="0.3">
      <c r="A24" s="77" t="s">
        <v>125</v>
      </c>
      <c r="B24" s="78" t="s">
        <v>126</v>
      </c>
      <c r="C24" s="78" t="s">
        <v>127</v>
      </c>
      <c r="D24" s="78" t="s">
        <v>128</v>
      </c>
      <c r="E24" s="78" t="s">
        <v>129</v>
      </c>
      <c r="F24" s="78" t="s">
        <v>130</v>
      </c>
      <c r="G24" s="78" t="s">
        <v>131</v>
      </c>
      <c r="H24" s="78" t="s">
        <v>132</v>
      </c>
      <c r="I24" s="78" t="s">
        <v>55</v>
      </c>
      <c r="J24" s="79" t="s">
        <v>164</v>
      </c>
      <c r="N24" s="42" t="s">
        <v>164</v>
      </c>
      <c r="O24" s="1" t="s">
        <v>164</v>
      </c>
      <c r="P24" s="1" t="s">
        <v>165</v>
      </c>
    </row>
    <row r="25" spans="1:16" ht="15.75" customHeight="1" x14ac:dyDescent="0.25">
      <c r="A25" s="43" t="s">
        <v>133</v>
      </c>
      <c r="B25" s="44" t="s">
        <v>141</v>
      </c>
      <c r="C25" s="44" t="s">
        <v>142</v>
      </c>
      <c r="D25" s="44" t="s">
        <v>143</v>
      </c>
      <c r="E25" s="44" t="s">
        <v>144</v>
      </c>
      <c r="F25" s="44">
        <v>10</v>
      </c>
      <c r="G25" s="44">
        <v>600</v>
      </c>
      <c r="H25" s="44">
        <f t="shared" ref="H25:H32" si="1">PRODUCT(F25,G25)</f>
        <v>6000</v>
      </c>
      <c r="I25" s="44" t="s">
        <v>145</v>
      </c>
      <c r="J25" s="45" t="s">
        <v>166</v>
      </c>
      <c r="N25" s="5" t="s">
        <v>166</v>
      </c>
      <c r="O25" s="5" t="s">
        <v>167</v>
      </c>
      <c r="P25" s="5" t="s">
        <v>168</v>
      </c>
    </row>
    <row r="26" spans="1:16" ht="15.75" customHeight="1" x14ac:dyDescent="0.25">
      <c r="A26" s="30" t="s">
        <v>134</v>
      </c>
      <c r="B26" s="31" t="s">
        <v>146</v>
      </c>
      <c r="C26" s="31" t="s">
        <v>142</v>
      </c>
      <c r="D26" s="31" t="s">
        <v>150</v>
      </c>
      <c r="E26" s="31" t="s">
        <v>151</v>
      </c>
      <c r="F26" s="31">
        <v>15</v>
      </c>
      <c r="G26" s="31">
        <v>400</v>
      </c>
      <c r="H26" s="31">
        <f t="shared" si="1"/>
        <v>6000</v>
      </c>
      <c r="I26" s="31" t="s">
        <v>145</v>
      </c>
      <c r="J26" s="34" t="s">
        <v>169</v>
      </c>
      <c r="N26" s="5" t="s">
        <v>169</v>
      </c>
      <c r="O26" s="5" t="s">
        <v>170</v>
      </c>
      <c r="P26" s="5" t="s">
        <v>171</v>
      </c>
    </row>
    <row r="27" spans="1:16" ht="15.75" customHeight="1" x14ac:dyDescent="0.25">
      <c r="A27" s="30" t="s">
        <v>135</v>
      </c>
      <c r="B27" s="31" t="s">
        <v>147</v>
      </c>
      <c r="C27" s="31" t="s">
        <v>152</v>
      </c>
      <c r="D27" s="31" t="s">
        <v>153</v>
      </c>
      <c r="E27" s="31" t="s">
        <v>154</v>
      </c>
      <c r="F27" s="31">
        <v>20</v>
      </c>
      <c r="G27" s="31">
        <v>100</v>
      </c>
      <c r="H27" s="31">
        <f t="shared" si="1"/>
        <v>2000</v>
      </c>
      <c r="I27" s="31" t="s">
        <v>155</v>
      </c>
      <c r="J27" s="34" t="s">
        <v>172</v>
      </c>
      <c r="N27" s="5" t="s">
        <v>172</v>
      </c>
      <c r="O27" s="5" t="s">
        <v>173</v>
      </c>
      <c r="P27" s="5" t="s">
        <v>174</v>
      </c>
    </row>
    <row r="28" spans="1:16" ht="15.75" customHeight="1" x14ac:dyDescent="0.25">
      <c r="A28" s="30" t="s">
        <v>136</v>
      </c>
      <c r="B28" s="31" t="s">
        <v>148</v>
      </c>
      <c r="C28" s="31" t="s">
        <v>152</v>
      </c>
      <c r="D28" s="31" t="s">
        <v>156</v>
      </c>
      <c r="E28" s="31" t="s">
        <v>144</v>
      </c>
      <c r="F28" s="31">
        <v>12</v>
      </c>
      <c r="G28" s="31">
        <v>200</v>
      </c>
      <c r="H28" s="31">
        <f t="shared" si="1"/>
        <v>2400</v>
      </c>
      <c r="I28" s="31" t="s">
        <v>155</v>
      </c>
      <c r="J28" s="34" t="s">
        <v>166</v>
      </c>
    </row>
    <row r="29" spans="1:16" ht="15.75" customHeight="1" x14ac:dyDescent="0.25">
      <c r="A29" s="30" t="s">
        <v>137</v>
      </c>
      <c r="B29" s="31" t="s">
        <v>141</v>
      </c>
      <c r="C29" s="31" t="s">
        <v>142</v>
      </c>
      <c r="D29" s="31" t="s">
        <v>143</v>
      </c>
      <c r="E29" s="31" t="s">
        <v>151</v>
      </c>
      <c r="F29" s="31">
        <v>8</v>
      </c>
      <c r="G29" s="31">
        <v>600</v>
      </c>
      <c r="H29" s="31">
        <f t="shared" si="1"/>
        <v>4800</v>
      </c>
      <c r="I29" s="31" t="s">
        <v>90</v>
      </c>
      <c r="J29" s="34" t="s">
        <v>169</v>
      </c>
    </row>
    <row r="30" spans="1:16" ht="15.75" customHeight="1" x14ac:dyDescent="0.25">
      <c r="A30" s="30" t="s">
        <v>138</v>
      </c>
      <c r="B30" s="31" t="s">
        <v>149</v>
      </c>
      <c r="C30" s="31" t="s">
        <v>152</v>
      </c>
      <c r="D30" s="31" t="s">
        <v>150</v>
      </c>
      <c r="E30" s="31" t="s">
        <v>154</v>
      </c>
      <c r="F30" s="31">
        <v>5</v>
      </c>
      <c r="G30" s="31">
        <v>500</v>
      </c>
      <c r="H30" s="31">
        <f t="shared" si="1"/>
        <v>2500</v>
      </c>
      <c r="I30" s="31" t="s">
        <v>90</v>
      </c>
      <c r="J30" s="34" t="s">
        <v>172</v>
      </c>
    </row>
    <row r="31" spans="1:16" ht="15.75" customHeight="1" x14ac:dyDescent="0.25">
      <c r="A31" s="30" t="s">
        <v>139</v>
      </c>
      <c r="B31" s="31" t="s">
        <v>146</v>
      </c>
      <c r="C31" s="31" t="s">
        <v>142</v>
      </c>
      <c r="D31" s="31" t="s">
        <v>153</v>
      </c>
      <c r="E31" s="31" t="s">
        <v>144</v>
      </c>
      <c r="F31" s="31">
        <v>18</v>
      </c>
      <c r="G31" s="31">
        <v>400</v>
      </c>
      <c r="H31" s="31">
        <f t="shared" si="1"/>
        <v>7200</v>
      </c>
      <c r="I31" s="31" t="s">
        <v>157</v>
      </c>
      <c r="J31" s="34" t="s">
        <v>166</v>
      </c>
    </row>
    <row r="32" spans="1:16" ht="15.75" customHeight="1" x14ac:dyDescent="0.25">
      <c r="A32" s="35" t="s">
        <v>140</v>
      </c>
      <c r="B32" s="36" t="s">
        <v>148</v>
      </c>
      <c r="C32" s="36" t="s">
        <v>152</v>
      </c>
      <c r="D32" s="36" t="s">
        <v>156</v>
      </c>
      <c r="E32" s="36" t="s">
        <v>151</v>
      </c>
      <c r="F32" s="36">
        <v>10</v>
      </c>
      <c r="G32" s="36">
        <v>200</v>
      </c>
      <c r="H32" s="36">
        <f t="shared" si="1"/>
        <v>2000</v>
      </c>
      <c r="I32" s="36" t="s">
        <v>158</v>
      </c>
      <c r="J32" s="40" t="s">
        <v>169</v>
      </c>
    </row>
    <row r="33" spans="1:15" ht="15.75" customHeight="1" x14ac:dyDescent="0.25">
      <c r="N33" s="75" t="s">
        <v>331</v>
      </c>
    </row>
    <row r="34" spans="1:15" ht="15.75" customHeight="1" x14ac:dyDescent="0.25">
      <c r="A34" s="46" t="s">
        <v>175</v>
      </c>
      <c r="B34" s="47"/>
      <c r="N34" s="49" t="s">
        <v>161</v>
      </c>
      <c r="O34" s="49" t="s">
        <v>165</v>
      </c>
    </row>
    <row r="35" spans="1:15" ht="15.75" customHeight="1" x14ac:dyDescent="0.25">
      <c r="A35" s="4" t="s">
        <v>161</v>
      </c>
      <c r="B35" s="41" t="s">
        <v>129</v>
      </c>
      <c r="N35" s="41" t="s">
        <v>139</v>
      </c>
      <c r="O35" s="6" t="str">
        <f>VLOOKUP(VLOOKUP(N35,A24:J32,10,0),N24:P27,3,0)</f>
        <v>Mumbai</v>
      </c>
    </row>
    <row r="36" spans="1:15" ht="15.75" customHeight="1" x14ac:dyDescent="0.25">
      <c r="A36" s="41" t="s">
        <v>138</v>
      </c>
      <c r="B36" s="6" t="str">
        <f>VLOOKUP(A36,A24:J32,MATCH(B35,A24:J24,0),0)</f>
        <v>Charlie</v>
      </c>
    </row>
    <row r="37" spans="1:15" ht="15.75" customHeight="1" x14ac:dyDescent="0.25"/>
    <row r="38" spans="1:15" ht="15.75" customHeight="1" thickBot="1" x14ac:dyDescent="0.3">
      <c r="A38" s="48" t="s">
        <v>176</v>
      </c>
    </row>
    <row r="39" spans="1:15" ht="30.75" thickBot="1" x14ac:dyDescent="0.3">
      <c r="A39" s="77" t="s">
        <v>125</v>
      </c>
      <c r="B39" s="78" t="s">
        <v>126</v>
      </c>
      <c r="C39" s="78" t="s">
        <v>127</v>
      </c>
      <c r="D39" s="78" t="s">
        <v>128</v>
      </c>
      <c r="E39" s="78" t="s">
        <v>130</v>
      </c>
      <c r="F39" s="78" t="s">
        <v>129</v>
      </c>
      <c r="G39" s="78" t="s">
        <v>131</v>
      </c>
      <c r="H39" s="78" t="s">
        <v>132</v>
      </c>
      <c r="I39" s="78" t="s">
        <v>55</v>
      </c>
      <c r="J39" s="79" t="s">
        <v>164</v>
      </c>
    </row>
    <row r="40" spans="1:15" ht="15.75" customHeight="1" thickBot="1" x14ac:dyDescent="0.3">
      <c r="A40" s="90" t="s">
        <v>139</v>
      </c>
      <c r="B40" s="91" t="str">
        <f t="array" ref="B40:J40">VLOOKUP(A40,A24:J32,{2,3,4,5,6,7,8,9,10},0)</f>
        <v>Mobile</v>
      </c>
      <c r="C40" s="91" t="str">
        <v>Electronics</v>
      </c>
      <c r="D40" s="91" t="str">
        <v>East</v>
      </c>
      <c r="E40" s="91" t="str">
        <v>Alice</v>
      </c>
      <c r="F40" s="91">
        <v>18</v>
      </c>
      <c r="G40" s="91">
        <v>400</v>
      </c>
      <c r="H40" s="91">
        <v>7200</v>
      </c>
      <c r="I40" s="91" t="str">
        <v>April</v>
      </c>
      <c r="J40" s="92" t="str">
        <v>Supplier 1</v>
      </c>
    </row>
    <row r="41" spans="1:15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5" ht="15.75" customHeight="1" x14ac:dyDescent="0.25">
      <c r="B42" s="6"/>
      <c r="C42" s="6"/>
      <c r="D42" s="6"/>
      <c r="E42" s="6"/>
      <c r="F42" s="6"/>
      <c r="G42" s="6"/>
      <c r="H42" s="6"/>
      <c r="I42" s="6"/>
      <c r="J42" s="6"/>
    </row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>
      <c r="A46" s="8" t="s">
        <v>38</v>
      </c>
      <c r="B46" s="8" t="s">
        <v>177</v>
      </c>
      <c r="E46" s="6" t="s">
        <v>38</v>
      </c>
      <c r="F46" s="6" t="s">
        <v>177</v>
      </c>
    </row>
    <row r="47" spans="1:15" ht="15.75" customHeight="1" x14ac:dyDescent="0.25">
      <c r="A47" s="6">
        <v>0</v>
      </c>
      <c r="B47" s="50">
        <v>0</v>
      </c>
      <c r="E47" s="6">
        <v>5000</v>
      </c>
      <c r="F47" s="51">
        <f>VLOOKUP(E47,A46:B52,2,1)</f>
        <v>0</v>
      </c>
    </row>
    <row r="48" spans="1:15" ht="15.75" customHeight="1" x14ac:dyDescent="0.25">
      <c r="A48" s="6">
        <v>100000</v>
      </c>
      <c r="B48" s="50">
        <v>0.02</v>
      </c>
    </row>
    <row r="49" spans="1:2" ht="15.75" customHeight="1" x14ac:dyDescent="0.25">
      <c r="A49" s="6">
        <v>500000</v>
      </c>
      <c r="B49" s="50">
        <v>0.05</v>
      </c>
    </row>
    <row r="50" spans="1:2" ht="15.75" customHeight="1" x14ac:dyDescent="0.25">
      <c r="A50" s="6">
        <v>800000</v>
      </c>
      <c r="B50" s="50">
        <v>0.1</v>
      </c>
    </row>
    <row r="51" spans="1:2" ht="15.75" customHeight="1" x14ac:dyDescent="0.25">
      <c r="A51" s="6">
        <v>1200000</v>
      </c>
      <c r="B51" s="50">
        <v>0.15</v>
      </c>
    </row>
    <row r="52" spans="1:2" ht="15.75" customHeight="1" x14ac:dyDescent="0.25">
      <c r="A52" s="6">
        <v>1500000</v>
      </c>
      <c r="B52" s="50">
        <v>0.3</v>
      </c>
    </row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dataValidations disablePrompts="1" count="2">
    <dataValidation type="list" allowBlank="1" showInputMessage="1" showErrorMessage="1" sqref="A36" xr:uid="{F4FAFCEC-35FF-47EC-AFA7-2A044A2711E0}">
      <formula1>$A$25:$A$32</formula1>
    </dataValidation>
    <dataValidation type="list" allowBlank="1" showInputMessage="1" showErrorMessage="1" sqref="B35" xr:uid="{2774906F-E307-4CE1-B1A9-35352AAB149B}">
      <formula1>$A$24:$J$24</formula1>
    </dataValidation>
  </dataValidation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S1000"/>
  <sheetViews>
    <sheetView topLeftCell="A4" zoomScale="145" zoomScaleNormal="145" workbookViewId="0">
      <selection activeCell="C20" sqref="C20"/>
    </sheetView>
  </sheetViews>
  <sheetFormatPr defaultColWidth="14.42578125" defaultRowHeight="15" customHeight="1" x14ac:dyDescent="0.25"/>
  <cols>
    <col min="1" max="1" width="12.7109375" bestFit="1" customWidth="1"/>
    <col min="2" max="2" width="12" customWidth="1"/>
    <col min="3" max="3" width="12.85546875" customWidth="1"/>
    <col min="4" max="4" width="17.28515625" customWidth="1"/>
    <col min="5" max="5" width="8.7109375" customWidth="1"/>
    <col min="6" max="6" width="15.85546875" customWidth="1"/>
    <col min="7" max="7" width="10" customWidth="1"/>
    <col min="8" max="8" width="10.7109375" customWidth="1"/>
    <col min="9" max="9" width="10" customWidth="1"/>
    <col min="10" max="26" width="8.7109375" customWidth="1"/>
  </cols>
  <sheetData>
    <row r="1" spans="1:19" x14ac:dyDescent="0.25">
      <c r="A1" s="6" t="s">
        <v>191</v>
      </c>
      <c r="B1" s="6" t="s">
        <v>192</v>
      </c>
      <c r="C1" s="93">
        <v>24990</v>
      </c>
      <c r="F1" s="56" t="s">
        <v>193</v>
      </c>
      <c r="G1" s="56" t="s">
        <v>194</v>
      </c>
      <c r="H1" s="56" t="s">
        <v>195</v>
      </c>
      <c r="I1" s="56" t="s">
        <v>196</v>
      </c>
    </row>
    <row r="2" spans="1:19" x14ac:dyDescent="0.25">
      <c r="A2" s="75" t="s">
        <v>333</v>
      </c>
      <c r="C2" s="50">
        <v>0.17</v>
      </c>
      <c r="F2" s="57">
        <v>1</v>
      </c>
      <c r="G2" s="58">
        <f>IFERROR(-IPMT($C$2/12,F2,$C$3,$C$1),0)</f>
        <v>354.02500000000003</v>
      </c>
      <c r="H2" s="59">
        <f>IFERROR(-PPMT($C$2/12,F2,$C$3,$C$1),0)</f>
        <v>2623.0102328746957</v>
      </c>
      <c r="I2" s="60">
        <f t="shared" ref="I2:I17" si="0">SUM(G2:H2)</f>
        <v>2977.0352328746958</v>
      </c>
      <c r="S2" s="6" t="s">
        <v>194</v>
      </c>
    </row>
    <row r="3" spans="1:19" x14ac:dyDescent="0.25">
      <c r="A3" s="6" t="s">
        <v>55</v>
      </c>
      <c r="B3" s="6" t="s">
        <v>197</v>
      </c>
      <c r="C3" s="6">
        <v>9</v>
      </c>
      <c r="F3" s="57">
        <v>2</v>
      </c>
      <c r="G3" s="58">
        <f t="shared" ref="G3:G17" si="1">IFERROR(-IPMT($C$2/12,F3,$C$3,$C$1),0)</f>
        <v>316.86568836760847</v>
      </c>
      <c r="H3" s="59">
        <f t="shared" ref="H3:H17" si="2">IFERROR(-PPMT($C$2/12,F3,$C$3,$C$1),0)</f>
        <v>2660.1695445070873</v>
      </c>
      <c r="I3" s="60">
        <f t="shared" si="0"/>
        <v>2977.0352328746958</v>
      </c>
      <c r="L3" s="6" t="s">
        <v>198</v>
      </c>
      <c r="O3" s="6">
        <v>20</v>
      </c>
      <c r="P3" s="6">
        <f>O3*0.02%</f>
        <v>4.0000000000000001E-3</v>
      </c>
      <c r="S3" s="6" t="s">
        <v>195</v>
      </c>
    </row>
    <row r="4" spans="1:19" x14ac:dyDescent="0.25">
      <c r="F4" s="57">
        <v>3</v>
      </c>
      <c r="G4" s="58">
        <f t="shared" si="1"/>
        <v>279.17995315375805</v>
      </c>
      <c r="H4" s="59">
        <f t="shared" si="2"/>
        <v>2697.8552797209377</v>
      </c>
      <c r="I4" s="60">
        <f t="shared" si="0"/>
        <v>2977.0352328746958</v>
      </c>
      <c r="S4" s="6" t="s">
        <v>199</v>
      </c>
    </row>
    <row r="5" spans="1:19" x14ac:dyDescent="0.25">
      <c r="A5" s="75" t="s">
        <v>332</v>
      </c>
      <c r="C5" s="61">
        <f>-PMT(C2/12,C3,C1)</f>
        <v>2977.0352328746958</v>
      </c>
      <c r="F5" s="57">
        <v>4</v>
      </c>
      <c r="G5" s="58">
        <f t="shared" si="1"/>
        <v>240.96033669104477</v>
      </c>
      <c r="H5" s="59">
        <f t="shared" si="2"/>
        <v>2736.0748961836512</v>
      </c>
      <c r="I5" s="60">
        <f t="shared" si="0"/>
        <v>2977.0352328746958</v>
      </c>
      <c r="S5" s="6" t="s">
        <v>200</v>
      </c>
    </row>
    <row r="6" spans="1:19" x14ac:dyDescent="0.25">
      <c r="A6" s="6" t="s">
        <v>201</v>
      </c>
      <c r="C6" s="62">
        <f>C5*C3</f>
        <v>26793.317095872262</v>
      </c>
      <c r="F6" s="57">
        <v>5</v>
      </c>
      <c r="G6" s="58">
        <f t="shared" si="1"/>
        <v>202.19927566177643</v>
      </c>
      <c r="H6" s="59">
        <f t="shared" si="2"/>
        <v>2774.8359572129198</v>
      </c>
      <c r="I6" s="60">
        <f t="shared" si="0"/>
        <v>2977.0352328746962</v>
      </c>
      <c r="M6" s="6" t="s">
        <v>202</v>
      </c>
      <c r="S6" s="6" t="s">
        <v>203</v>
      </c>
    </row>
    <row r="7" spans="1:19" x14ac:dyDescent="0.25">
      <c r="A7" s="6" t="s">
        <v>204</v>
      </c>
      <c r="C7" s="63">
        <f>C6-C1</f>
        <v>1803.3170958722621</v>
      </c>
      <c r="F7" s="57">
        <v>6</v>
      </c>
      <c r="G7" s="58">
        <f t="shared" si="1"/>
        <v>162.88909960126003</v>
      </c>
      <c r="H7" s="59">
        <f t="shared" si="2"/>
        <v>2814.1461332734357</v>
      </c>
      <c r="I7" s="60">
        <f t="shared" si="0"/>
        <v>2977.0352328746958</v>
      </c>
      <c r="M7" s="6" t="s">
        <v>205</v>
      </c>
      <c r="S7" s="6" t="s">
        <v>192</v>
      </c>
    </row>
    <row r="8" spans="1:19" x14ac:dyDescent="0.25">
      <c r="F8" s="57">
        <v>7</v>
      </c>
      <c r="G8" s="58">
        <f t="shared" si="1"/>
        <v>123.02202937988635</v>
      </c>
      <c r="H8" s="59">
        <f t="shared" si="2"/>
        <v>2854.0132034948097</v>
      </c>
      <c r="I8" s="60">
        <f t="shared" si="0"/>
        <v>2977.0352328746958</v>
      </c>
      <c r="M8" s="6" t="s">
        <v>206</v>
      </c>
      <c r="S8" s="6" t="s">
        <v>207</v>
      </c>
    </row>
    <row r="9" spans="1:19" x14ac:dyDescent="0.25">
      <c r="A9" s="73" t="s">
        <v>192</v>
      </c>
      <c r="B9" s="5"/>
      <c r="C9" s="64">
        <f>PV(C2/12,C3,-C5)</f>
        <v>24989.999999999891</v>
      </c>
      <c r="F9" s="57">
        <v>8</v>
      </c>
      <c r="G9" s="58">
        <f t="shared" si="1"/>
        <v>82.590175663709886</v>
      </c>
      <c r="H9" s="59">
        <f t="shared" si="2"/>
        <v>2894.4450572109863</v>
      </c>
      <c r="I9" s="60">
        <f t="shared" si="0"/>
        <v>2977.0352328746962</v>
      </c>
      <c r="M9" s="6" t="s">
        <v>208</v>
      </c>
      <c r="S9" s="6" t="s">
        <v>209</v>
      </c>
    </row>
    <row r="10" spans="1:19" x14ac:dyDescent="0.25">
      <c r="A10" s="5"/>
      <c r="B10" s="5"/>
      <c r="C10" s="5"/>
      <c r="F10" s="57">
        <v>9</v>
      </c>
      <c r="G10" s="58">
        <f t="shared" si="1"/>
        <v>41.5855373532209</v>
      </c>
      <c r="H10" s="59">
        <f t="shared" si="2"/>
        <v>2935.449695521475</v>
      </c>
      <c r="I10" s="60">
        <f t="shared" si="0"/>
        <v>2977.0352328746958</v>
      </c>
    </row>
    <row r="11" spans="1:19" x14ac:dyDescent="0.25">
      <c r="A11" s="5" t="s">
        <v>210</v>
      </c>
      <c r="B11" s="5"/>
      <c r="C11" s="64">
        <v>1000</v>
      </c>
      <c r="F11" s="57">
        <v>10</v>
      </c>
      <c r="G11" s="58">
        <f t="shared" si="1"/>
        <v>0</v>
      </c>
      <c r="H11" s="59">
        <f t="shared" si="2"/>
        <v>0</v>
      </c>
      <c r="I11" s="60">
        <f t="shared" si="0"/>
        <v>0</v>
      </c>
    </row>
    <row r="12" spans="1:19" x14ac:dyDescent="0.25">
      <c r="A12" s="5" t="s">
        <v>211</v>
      </c>
      <c r="B12" s="5"/>
      <c r="C12" s="5">
        <v>100</v>
      </c>
      <c r="F12" s="57">
        <v>11</v>
      </c>
      <c r="G12" s="58">
        <f t="shared" si="1"/>
        <v>0</v>
      </c>
      <c r="H12" s="59">
        <f t="shared" si="2"/>
        <v>0</v>
      </c>
      <c r="I12" s="60">
        <f t="shared" si="0"/>
        <v>0</v>
      </c>
    </row>
    <row r="13" spans="1:19" x14ac:dyDescent="0.25">
      <c r="A13" s="6" t="s">
        <v>212</v>
      </c>
      <c r="B13" s="5"/>
      <c r="C13" s="65">
        <v>0.1</v>
      </c>
      <c r="F13" s="57">
        <v>12</v>
      </c>
      <c r="G13" s="58">
        <f t="shared" si="1"/>
        <v>0</v>
      </c>
      <c r="H13" s="59">
        <f t="shared" si="2"/>
        <v>0</v>
      </c>
      <c r="I13" s="60">
        <f t="shared" si="0"/>
        <v>0</v>
      </c>
    </row>
    <row r="14" spans="1:19" x14ac:dyDescent="0.25">
      <c r="A14" s="5" t="s">
        <v>197</v>
      </c>
      <c r="B14" s="5"/>
      <c r="C14" s="5">
        <v>10</v>
      </c>
      <c r="F14" s="57">
        <v>13</v>
      </c>
      <c r="G14" s="58">
        <f t="shared" si="1"/>
        <v>0</v>
      </c>
      <c r="H14" s="59">
        <f t="shared" si="2"/>
        <v>0</v>
      </c>
      <c r="I14" s="60">
        <f t="shared" si="0"/>
        <v>0</v>
      </c>
      <c r="M14" s="6" t="s">
        <v>18</v>
      </c>
      <c r="N14" s="6">
        <v>10</v>
      </c>
    </row>
    <row r="15" spans="1:19" x14ac:dyDescent="0.25">
      <c r="A15" s="73" t="s">
        <v>207</v>
      </c>
      <c r="B15" s="5"/>
      <c r="C15" s="64">
        <f>-FV(C13/12,C14,C12,C11)</f>
        <v>2124.8744091940971</v>
      </c>
      <c r="F15" s="57">
        <v>14</v>
      </c>
      <c r="G15" s="58">
        <f t="shared" si="1"/>
        <v>0</v>
      </c>
      <c r="H15" s="59">
        <f t="shared" si="2"/>
        <v>0</v>
      </c>
      <c r="I15" s="60">
        <f t="shared" si="0"/>
        <v>0</v>
      </c>
      <c r="M15" s="6" t="s">
        <v>213</v>
      </c>
      <c r="N15" s="6">
        <v>60</v>
      </c>
    </row>
    <row r="16" spans="1:19" x14ac:dyDescent="0.25">
      <c r="F16" s="57">
        <v>15</v>
      </c>
      <c r="G16" s="58">
        <f t="shared" si="1"/>
        <v>0</v>
      </c>
      <c r="H16" s="59">
        <f t="shared" si="2"/>
        <v>0</v>
      </c>
      <c r="I16" s="60">
        <f t="shared" si="0"/>
        <v>0</v>
      </c>
      <c r="M16" s="6" t="s">
        <v>20</v>
      </c>
      <c r="N16" s="6">
        <v>50</v>
      </c>
    </row>
    <row r="17" spans="1:14" x14ac:dyDescent="0.25">
      <c r="A17" s="86" t="s">
        <v>197</v>
      </c>
      <c r="C17" s="6">
        <f>NPER(C13/12,C12,C11,-C15)</f>
        <v>9.9999999999999947</v>
      </c>
      <c r="F17" s="57">
        <v>16</v>
      </c>
      <c r="G17" s="58">
        <f t="shared" si="1"/>
        <v>0</v>
      </c>
      <c r="H17" s="59">
        <f t="shared" si="2"/>
        <v>0</v>
      </c>
      <c r="I17" s="60">
        <f t="shared" si="0"/>
        <v>0</v>
      </c>
      <c r="M17" s="6" t="s">
        <v>214</v>
      </c>
      <c r="N17" s="6">
        <v>40</v>
      </c>
    </row>
    <row r="18" spans="1:14" x14ac:dyDescent="0.25">
      <c r="F18" s="66" t="s">
        <v>6</v>
      </c>
      <c r="G18" s="67">
        <f t="shared" ref="G18:I18" si="3">SUM(G2:G17)</f>
        <v>1803.3170958722651</v>
      </c>
      <c r="H18" s="68">
        <f t="shared" si="3"/>
        <v>24989.999999999996</v>
      </c>
      <c r="I18" s="69">
        <f t="shared" si="3"/>
        <v>26793.317095872262</v>
      </c>
      <c r="M18" s="6" t="s">
        <v>19</v>
      </c>
      <c r="N18" s="6">
        <v>30</v>
      </c>
    </row>
    <row r="19" spans="1:14" x14ac:dyDescent="0.25">
      <c r="A19" s="86" t="s">
        <v>212</v>
      </c>
      <c r="C19" s="70">
        <f>RATE(C14,C12,C11,-C15,0)*12</f>
        <v>0.10000000005962707</v>
      </c>
    </row>
    <row r="20" spans="1:14" x14ac:dyDescent="0.25">
      <c r="M20" s="6" t="s">
        <v>20</v>
      </c>
      <c r="N20" s="6" t="e">
        <f t="array" aca="1" ref="N20" ca="1">_xludf.SWITCH(M20,M14,N14,M15,N15,M16,N16,M17,N17,M18,N18)</f>
        <v>#NAME?</v>
      </c>
    </row>
    <row r="21" spans="1:14" ht="15.75" customHeight="1" x14ac:dyDescent="0.25"/>
    <row r="22" spans="1:14" ht="15.75" customHeight="1" x14ac:dyDescent="0.25"/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4:L1003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14.28515625" customWidth="1"/>
    <col min="2" max="2" width="18.28515625" customWidth="1"/>
    <col min="3" max="3" width="11.42578125" customWidth="1"/>
    <col min="4" max="6" width="8.7109375" customWidth="1"/>
    <col min="7" max="7" width="10.28515625" customWidth="1"/>
    <col min="8" max="26" width="8.7109375" customWidth="1"/>
  </cols>
  <sheetData>
    <row r="4" spans="1:12" ht="30" x14ac:dyDescent="0.25">
      <c r="A4" s="42" t="s">
        <v>125</v>
      </c>
      <c r="B4" s="42" t="s">
        <v>126</v>
      </c>
      <c r="C4" s="42" t="s">
        <v>127</v>
      </c>
      <c r="D4" s="42" t="s">
        <v>128</v>
      </c>
      <c r="E4" s="42" t="s">
        <v>129</v>
      </c>
      <c r="F4" s="42" t="s">
        <v>130</v>
      </c>
      <c r="G4" s="42" t="s">
        <v>131</v>
      </c>
      <c r="H4" s="42" t="s">
        <v>132</v>
      </c>
      <c r="I4" s="42" t="s">
        <v>55</v>
      </c>
    </row>
    <row r="5" spans="1:12" x14ac:dyDescent="0.25">
      <c r="A5" s="31" t="s">
        <v>133</v>
      </c>
      <c r="B5" s="31" t="s">
        <v>141</v>
      </c>
      <c r="C5" s="31" t="s">
        <v>142</v>
      </c>
      <c r="D5" s="31" t="s">
        <v>143</v>
      </c>
      <c r="E5" s="31" t="s">
        <v>144</v>
      </c>
      <c r="F5" s="31">
        <v>10</v>
      </c>
      <c r="G5" s="31">
        <v>600</v>
      </c>
      <c r="H5" s="31">
        <f t="shared" ref="H5:H12" si="0">PRODUCT(F5,G5)</f>
        <v>6000</v>
      </c>
      <c r="I5" s="31" t="s">
        <v>145</v>
      </c>
    </row>
    <row r="6" spans="1:12" x14ac:dyDescent="0.25">
      <c r="A6" s="31" t="s">
        <v>134</v>
      </c>
      <c r="B6" s="31" t="s">
        <v>146</v>
      </c>
      <c r="C6" s="31" t="s">
        <v>142</v>
      </c>
      <c r="D6" s="31" t="s">
        <v>150</v>
      </c>
      <c r="E6" s="31" t="s">
        <v>151</v>
      </c>
      <c r="F6" s="31">
        <v>15</v>
      </c>
      <c r="G6" s="31">
        <v>400</v>
      </c>
      <c r="H6" s="31">
        <f t="shared" si="0"/>
        <v>6000</v>
      </c>
      <c r="I6" s="31" t="s">
        <v>145</v>
      </c>
    </row>
    <row r="7" spans="1:12" ht="30" x14ac:dyDescent="0.25">
      <c r="A7" s="31" t="s">
        <v>135</v>
      </c>
      <c r="B7" s="31" t="s">
        <v>147</v>
      </c>
      <c r="C7" s="31" t="s">
        <v>152</v>
      </c>
      <c r="D7" s="31" t="s">
        <v>153</v>
      </c>
      <c r="E7" s="31" t="s">
        <v>154</v>
      </c>
      <c r="F7" s="31">
        <v>20</v>
      </c>
      <c r="G7" s="31">
        <v>100</v>
      </c>
      <c r="H7" s="31">
        <f t="shared" si="0"/>
        <v>2000</v>
      </c>
      <c r="I7" s="31" t="s">
        <v>155</v>
      </c>
    </row>
    <row r="8" spans="1:12" ht="30" x14ac:dyDescent="0.25">
      <c r="A8" s="31" t="s">
        <v>136</v>
      </c>
      <c r="B8" s="31" t="s">
        <v>148</v>
      </c>
      <c r="C8" s="31" t="s">
        <v>152</v>
      </c>
      <c r="D8" s="31" t="s">
        <v>156</v>
      </c>
      <c r="E8" s="31" t="s">
        <v>144</v>
      </c>
      <c r="F8" s="31">
        <v>12</v>
      </c>
      <c r="G8" s="31">
        <v>200</v>
      </c>
      <c r="H8" s="31">
        <f t="shared" si="0"/>
        <v>2400</v>
      </c>
      <c r="I8" s="31" t="s">
        <v>155</v>
      </c>
    </row>
    <row r="9" spans="1:12" x14ac:dyDescent="0.25">
      <c r="A9" s="31" t="s">
        <v>137</v>
      </c>
      <c r="B9" s="31" t="s">
        <v>141</v>
      </c>
      <c r="C9" s="31" t="s">
        <v>142</v>
      </c>
      <c r="D9" s="31" t="s">
        <v>143</v>
      </c>
      <c r="E9" s="31" t="s">
        <v>151</v>
      </c>
      <c r="F9" s="31">
        <v>8</v>
      </c>
      <c r="G9" s="31">
        <v>600</v>
      </c>
      <c r="H9" s="31">
        <f t="shared" si="0"/>
        <v>4800</v>
      </c>
      <c r="I9" s="31" t="s">
        <v>90</v>
      </c>
    </row>
    <row r="10" spans="1:12" x14ac:dyDescent="0.25">
      <c r="A10" s="31" t="s">
        <v>138</v>
      </c>
      <c r="B10" s="31" t="s">
        <v>149</v>
      </c>
      <c r="C10" s="31" t="s">
        <v>152</v>
      </c>
      <c r="D10" s="31" t="s">
        <v>150</v>
      </c>
      <c r="E10" s="31" t="s">
        <v>154</v>
      </c>
      <c r="F10" s="31">
        <v>5</v>
      </c>
      <c r="G10" s="31">
        <v>500</v>
      </c>
      <c r="H10" s="31">
        <f t="shared" si="0"/>
        <v>2500</v>
      </c>
      <c r="I10" s="31" t="s">
        <v>90</v>
      </c>
    </row>
    <row r="11" spans="1:12" x14ac:dyDescent="0.25">
      <c r="A11" s="31" t="s">
        <v>139</v>
      </c>
      <c r="B11" s="31" t="s">
        <v>146</v>
      </c>
      <c r="C11" s="31" t="s">
        <v>142</v>
      </c>
      <c r="D11" s="31" t="s">
        <v>153</v>
      </c>
      <c r="E11" s="31" t="s">
        <v>144</v>
      </c>
      <c r="F11" s="31">
        <v>18</v>
      </c>
      <c r="G11" s="31">
        <v>400</v>
      </c>
      <c r="H11" s="31">
        <f t="shared" si="0"/>
        <v>7200</v>
      </c>
      <c r="I11" s="31" t="s">
        <v>157</v>
      </c>
    </row>
    <row r="12" spans="1:12" x14ac:dyDescent="0.25">
      <c r="A12" s="31" t="s">
        <v>140</v>
      </c>
      <c r="B12" s="31" t="s">
        <v>148</v>
      </c>
      <c r="C12" s="31" t="s">
        <v>152</v>
      </c>
      <c r="D12" s="31" t="s">
        <v>156</v>
      </c>
      <c r="E12" s="31" t="s">
        <v>151</v>
      </c>
      <c r="F12" s="31">
        <v>10</v>
      </c>
      <c r="G12" s="31">
        <v>200</v>
      </c>
      <c r="H12" s="31">
        <f t="shared" si="0"/>
        <v>2000</v>
      </c>
      <c r="I12" s="31" t="s">
        <v>158</v>
      </c>
    </row>
    <row r="13" spans="1:12" x14ac:dyDescent="0.25">
      <c r="F13" s="71"/>
      <c r="G13" s="71"/>
      <c r="H13" s="71"/>
    </row>
    <row r="14" spans="1:12" x14ac:dyDescent="0.25">
      <c r="A14" s="41" t="s">
        <v>218</v>
      </c>
      <c r="K14" s="8" t="s">
        <v>219</v>
      </c>
      <c r="L14" s="6" t="s">
        <v>220</v>
      </c>
    </row>
    <row r="15" spans="1:12" x14ac:dyDescent="0.25">
      <c r="J15" s="6" t="s">
        <v>140</v>
      </c>
      <c r="K15" s="6">
        <f>MATCH(J15,A4:A12,0)</f>
        <v>9</v>
      </c>
    </row>
    <row r="16" spans="1:12" x14ac:dyDescent="0.25">
      <c r="A16" s="41" t="s">
        <v>125</v>
      </c>
      <c r="B16" s="6" t="s">
        <v>137</v>
      </c>
      <c r="K16" s="6" t="e">
        <f ca="1">_xludf.FORMULATEXT(K15)</f>
        <v>#NAME?</v>
      </c>
    </row>
    <row r="17" spans="1:12" x14ac:dyDescent="0.25">
      <c r="A17" s="6" t="s">
        <v>221</v>
      </c>
      <c r="B17" s="6" t="s">
        <v>126</v>
      </c>
      <c r="K17" s="8" t="s">
        <v>219</v>
      </c>
    </row>
    <row r="18" spans="1:12" x14ac:dyDescent="0.25">
      <c r="J18" s="6" t="s">
        <v>128</v>
      </c>
      <c r="K18" s="6">
        <f>MATCH(J18,A4:I4,0)</f>
        <v>4</v>
      </c>
    </row>
    <row r="19" spans="1:12" x14ac:dyDescent="0.25">
      <c r="A19" s="6" t="s">
        <v>162</v>
      </c>
      <c r="B19" s="6" t="str">
        <f>INDEX(A4:I12,MATCH(B16,A4:A12,0),MATCH(B17,A4:I4,0))</f>
        <v>Laptop</v>
      </c>
    </row>
    <row r="20" spans="1:12" x14ac:dyDescent="0.25">
      <c r="B20" s="6" t="str">
        <f ca="1">_xlfn.FORMULATEXT(B19)</f>
        <v>=INDEX(A4:I12,MATCH(B16,A4:A12,0),MATCH(B17,A4:I4,0))</v>
      </c>
      <c r="K20" s="8" t="s">
        <v>222</v>
      </c>
      <c r="L20" s="6" t="s">
        <v>223</v>
      </c>
    </row>
    <row r="21" spans="1:12" x14ac:dyDescent="0.25">
      <c r="K21" s="6"/>
      <c r="L21" t="str">
        <f>INDEX(A4:I12,6,4)</f>
        <v>North</v>
      </c>
    </row>
    <row r="22" spans="1:12" x14ac:dyDescent="0.25">
      <c r="K22" s="6"/>
    </row>
    <row r="23" spans="1:12" x14ac:dyDescent="0.25">
      <c r="K23" s="6"/>
    </row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dataValidations count="2">
    <dataValidation type="list" allowBlank="1" showErrorMessage="1" sqref="B16" xr:uid="{00000000-0002-0000-0700-000000000000}">
      <formula1>$A$4:$A$12</formula1>
    </dataValidation>
    <dataValidation type="list" allowBlank="1" showErrorMessage="1" sqref="B17 J18" xr:uid="{00000000-0002-0000-0700-000001000000}">
      <formula1>$A$4:$I$4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9" ht="30" x14ac:dyDescent="0.25">
      <c r="A1" s="72" t="s">
        <v>125</v>
      </c>
      <c r="B1" s="72" t="s">
        <v>126</v>
      </c>
      <c r="C1" s="72" t="s">
        <v>127</v>
      </c>
      <c r="D1" s="72" t="s">
        <v>128</v>
      </c>
      <c r="E1" s="72" t="s">
        <v>129</v>
      </c>
      <c r="F1" s="72" t="s">
        <v>130</v>
      </c>
      <c r="G1" s="72" t="s">
        <v>131</v>
      </c>
      <c r="H1" s="72" t="s">
        <v>132</v>
      </c>
      <c r="I1" s="72" t="s">
        <v>55</v>
      </c>
    </row>
    <row r="2" spans="1:9" ht="30" x14ac:dyDescent="0.25">
      <c r="A2" s="41" t="s">
        <v>133</v>
      </c>
      <c r="B2" s="41" t="s">
        <v>141</v>
      </c>
      <c r="C2" s="41" t="s">
        <v>142</v>
      </c>
      <c r="D2" s="41" t="s">
        <v>143</v>
      </c>
      <c r="E2" s="41" t="s">
        <v>144</v>
      </c>
      <c r="F2" s="41">
        <v>10</v>
      </c>
      <c r="G2" s="41">
        <v>600</v>
      </c>
      <c r="H2" s="41"/>
      <c r="I2" s="41" t="s">
        <v>145</v>
      </c>
    </row>
    <row r="3" spans="1:9" ht="30" x14ac:dyDescent="0.25">
      <c r="A3" s="41" t="s">
        <v>134</v>
      </c>
      <c r="B3" s="41" t="s">
        <v>146</v>
      </c>
      <c r="C3" s="41" t="s">
        <v>142</v>
      </c>
      <c r="D3" s="41" t="s">
        <v>150</v>
      </c>
      <c r="E3" s="41" t="s">
        <v>151</v>
      </c>
      <c r="F3" s="41">
        <v>15</v>
      </c>
      <c r="G3" s="41">
        <v>400</v>
      </c>
      <c r="H3" s="41"/>
      <c r="I3" s="41" t="s">
        <v>145</v>
      </c>
    </row>
    <row r="4" spans="1:9" ht="30" x14ac:dyDescent="0.25">
      <c r="A4" s="41" t="s">
        <v>135</v>
      </c>
      <c r="B4" s="41" t="s">
        <v>147</v>
      </c>
      <c r="C4" s="41" t="s">
        <v>152</v>
      </c>
      <c r="D4" s="41" t="s">
        <v>153</v>
      </c>
      <c r="E4" s="41" t="s">
        <v>154</v>
      </c>
      <c r="F4" s="41">
        <v>20</v>
      </c>
      <c r="G4" s="41">
        <v>100</v>
      </c>
      <c r="H4" s="41"/>
      <c r="I4" s="41" t="s">
        <v>155</v>
      </c>
    </row>
    <row r="5" spans="1:9" ht="30" x14ac:dyDescent="0.25">
      <c r="A5" s="41" t="s">
        <v>136</v>
      </c>
      <c r="B5" s="41" t="s">
        <v>148</v>
      </c>
      <c r="C5" s="41" t="s">
        <v>152</v>
      </c>
      <c r="D5" s="41" t="s">
        <v>156</v>
      </c>
      <c r="E5" s="41" t="s">
        <v>144</v>
      </c>
      <c r="F5" s="41">
        <v>12</v>
      </c>
      <c r="G5" s="41">
        <v>200</v>
      </c>
      <c r="H5" s="41"/>
      <c r="I5" s="41" t="s">
        <v>155</v>
      </c>
    </row>
    <row r="6" spans="1:9" ht="30" x14ac:dyDescent="0.25">
      <c r="A6" s="41" t="s">
        <v>137</v>
      </c>
      <c r="B6" s="41" t="s">
        <v>141</v>
      </c>
      <c r="C6" s="41" t="s">
        <v>142</v>
      </c>
      <c r="D6" s="41" t="s">
        <v>143</v>
      </c>
      <c r="E6" s="41" t="s">
        <v>151</v>
      </c>
      <c r="F6" s="41">
        <v>8</v>
      </c>
      <c r="G6" s="41">
        <v>600</v>
      </c>
      <c r="H6" s="41"/>
      <c r="I6" s="41" t="s">
        <v>90</v>
      </c>
    </row>
    <row r="7" spans="1:9" ht="30" x14ac:dyDescent="0.25">
      <c r="A7" s="41" t="s">
        <v>138</v>
      </c>
      <c r="B7" s="41" t="s">
        <v>149</v>
      </c>
      <c r="C7" s="41" t="s">
        <v>152</v>
      </c>
      <c r="D7" s="41" t="s">
        <v>150</v>
      </c>
      <c r="E7" s="41" t="s">
        <v>154</v>
      </c>
      <c r="F7" s="41">
        <v>5</v>
      </c>
      <c r="G7" s="41">
        <v>500</v>
      </c>
      <c r="H7" s="41"/>
      <c r="I7" s="41" t="s">
        <v>90</v>
      </c>
    </row>
    <row r="8" spans="1:9" ht="30" x14ac:dyDescent="0.25">
      <c r="A8" s="41" t="s">
        <v>139</v>
      </c>
      <c r="B8" s="41" t="s">
        <v>146</v>
      </c>
      <c r="C8" s="41" t="s">
        <v>142</v>
      </c>
      <c r="D8" s="41" t="s">
        <v>153</v>
      </c>
      <c r="E8" s="41" t="s">
        <v>144</v>
      </c>
      <c r="F8" s="41">
        <v>18</v>
      </c>
      <c r="G8" s="41">
        <v>400</v>
      </c>
      <c r="H8" s="41"/>
      <c r="I8" s="41" t="s">
        <v>157</v>
      </c>
    </row>
    <row r="9" spans="1:9" ht="30" x14ac:dyDescent="0.25">
      <c r="A9" s="41" t="s">
        <v>140</v>
      </c>
      <c r="B9" s="41" t="s">
        <v>148</v>
      </c>
      <c r="C9" s="41" t="s">
        <v>152</v>
      </c>
      <c r="D9" s="41" t="s">
        <v>156</v>
      </c>
      <c r="E9" s="41" t="s">
        <v>151</v>
      </c>
      <c r="F9" s="41">
        <v>10</v>
      </c>
      <c r="G9" s="41">
        <v>200</v>
      </c>
      <c r="H9" s="41"/>
      <c r="I9" s="41" t="s">
        <v>157</v>
      </c>
    </row>
    <row r="11" spans="1:9" x14ac:dyDescent="0.25">
      <c r="A11" s="49" t="s">
        <v>224</v>
      </c>
    </row>
    <row r="12" spans="1:9" ht="45" x14ac:dyDescent="0.25">
      <c r="A12" s="6">
        <v>1</v>
      </c>
      <c r="B12" s="41" t="s">
        <v>225</v>
      </c>
    </row>
    <row r="13" spans="1:9" x14ac:dyDescent="0.25">
      <c r="A13" s="6">
        <v>2</v>
      </c>
      <c r="B13" s="6" t="s">
        <v>226</v>
      </c>
    </row>
    <row r="14" spans="1:9" x14ac:dyDescent="0.25">
      <c r="A14" s="6">
        <v>3</v>
      </c>
      <c r="B14" s="6" t="s">
        <v>227</v>
      </c>
    </row>
    <row r="15" spans="1:9" x14ac:dyDescent="0.25">
      <c r="A15" s="6">
        <v>4</v>
      </c>
      <c r="B15" s="6" t="s">
        <v>228</v>
      </c>
    </row>
    <row r="16" spans="1:9" x14ac:dyDescent="0.25">
      <c r="A16" s="6">
        <v>5</v>
      </c>
      <c r="B16" s="6" t="s">
        <v>229</v>
      </c>
    </row>
    <row r="17" spans="1:2" x14ac:dyDescent="0.25">
      <c r="A17" s="6">
        <v>5</v>
      </c>
      <c r="B17" s="6" t="s">
        <v>230</v>
      </c>
    </row>
    <row r="18" spans="1:2" x14ac:dyDescent="0.25">
      <c r="A18" s="6">
        <v>5</v>
      </c>
      <c r="B18" s="6" t="s">
        <v>231</v>
      </c>
    </row>
    <row r="19" spans="1:2" x14ac:dyDescent="0.25">
      <c r="A19" s="6">
        <v>5</v>
      </c>
      <c r="B19" s="6" t="s">
        <v>232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O1000"/>
  <sheetViews>
    <sheetView workbookViewId="0">
      <selection activeCell="H2" sqref="H2:H9"/>
    </sheetView>
  </sheetViews>
  <sheetFormatPr defaultColWidth="14.42578125" defaultRowHeight="15" customHeight="1" x14ac:dyDescent="0.25"/>
  <cols>
    <col min="1" max="26" width="8.7109375" customWidth="1"/>
  </cols>
  <sheetData>
    <row r="1" spans="1:15" ht="30" x14ac:dyDescent="0.25">
      <c r="A1" s="27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28" t="s">
        <v>130</v>
      </c>
      <c r="G1" s="28" t="s">
        <v>131</v>
      </c>
      <c r="H1" s="28" t="s">
        <v>132</v>
      </c>
      <c r="I1" s="29" t="s">
        <v>55</v>
      </c>
    </row>
    <row r="2" spans="1:15" ht="30" x14ac:dyDescent="0.25">
      <c r="A2" s="30" t="s">
        <v>133</v>
      </c>
      <c r="B2" s="31" t="s">
        <v>141</v>
      </c>
      <c r="C2" s="31" t="s">
        <v>142</v>
      </c>
      <c r="D2" s="31" t="s">
        <v>143</v>
      </c>
      <c r="E2" s="31" t="s">
        <v>144</v>
      </c>
      <c r="F2" s="31">
        <f>VLOOKUP(A2,'Lookup Function'!$A$2:$I$10,6,0)</f>
        <v>0.9</v>
      </c>
      <c r="G2" s="31">
        <v>600</v>
      </c>
      <c r="H2" s="31">
        <f t="shared" ref="H2:H9" si="0">PRODUCT(F2,G2)</f>
        <v>540</v>
      </c>
      <c r="I2" s="32" t="s">
        <v>145</v>
      </c>
      <c r="L2" s="6">
        <v>10</v>
      </c>
    </row>
    <row r="3" spans="1:15" ht="30" x14ac:dyDescent="0.25">
      <c r="A3" s="30" t="s">
        <v>136</v>
      </c>
      <c r="B3" s="31" t="s">
        <v>148</v>
      </c>
      <c r="C3" s="31" t="s">
        <v>152</v>
      </c>
      <c r="D3" s="31" t="s">
        <v>156</v>
      </c>
      <c r="E3" s="31" t="s">
        <v>144</v>
      </c>
      <c r="F3" s="31">
        <f>VLOOKUP(A3,'Lookup Function'!$A$2:$I$10,6,0)</f>
        <v>0.6</v>
      </c>
      <c r="G3" s="31">
        <v>200</v>
      </c>
      <c r="H3" s="31">
        <f t="shared" si="0"/>
        <v>120</v>
      </c>
      <c r="I3" s="32" t="s">
        <v>155</v>
      </c>
      <c r="L3" s="6">
        <v>12</v>
      </c>
    </row>
    <row r="4" spans="1:15" ht="30" x14ac:dyDescent="0.25">
      <c r="A4" s="30" t="s">
        <v>139</v>
      </c>
      <c r="B4" s="31" t="s">
        <v>146</v>
      </c>
      <c r="C4" s="31" t="s">
        <v>142</v>
      </c>
      <c r="D4" s="31" t="s">
        <v>153</v>
      </c>
      <c r="E4" s="31" t="s">
        <v>144</v>
      </c>
      <c r="F4" s="31">
        <f>VLOOKUP(A4,'Lookup Function'!$A$2:$I$10,6,0)</f>
        <v>0.4</v>
      </c>
      <c r="G4" s="31">
        <v>400</v>
      </c>
      <c r="H4" s="31">
        <f t="shared" si="0"/>
        <v>160</v>
      </c>
      <c r="I4" s="32" t="s">
        <v>157</v>
      </c>
      <c r="L4" s="6">
        <v>18</v>
      </c>
    </row>
    <row r="5" spans="1:15" ht="30" x14ac:dyDescent="0.25">
      <c r="A5" s="30" t="s">
        <v>134</v>
      </c>
      <c r="B5" s="31" t="s">
        <v>146</v>
      </c>
      <c r="C5" s="31" t="s">
        <v>142</v>
      </c>
      <c r="D5" s="31" t="s">
        <v>150</v>
      </c>
      <c r="E5" s="31" t="s">
        <v>151</v>
      </c>
      <c r="F5" s="31">
        <f>VLOOKUP(A5,'Lookup Function'!$A$2:$I$10,6,0)</f>
        <v>0.7</v>
      </c>
      <c r="G5" s="31">
        <v>400</v>
      </c>
      <c r="H5" s="31">
        <f t="shared" si="0"/>
        <v>280</v>
      </c>
      <c r="I5" s="32" t="s">
        <v>145</v>
      </c>
      <c r="L5" s="6">
        <v>15</v>
      </c>
      <c r="O5">
        <f>SUM(F2,F5,F9)</f>
        <v>2.1</v>
      </c>
    </row>
    <row r="6" spans="1:15" ht="30" x14ac:dyDescent="0.25">
      <c r="A6" s="30" t="s">
        <v>137</v>
      </c>
      <c r="B6" s="31" t="s">
        <v>141</v>
      </c>
      <c r="C6" s="31" t="s">
        <v>142</v>
      </c>
      <c r="D6" s="31" t="s">
        <v>143</v>
      </c>
      <c r="E6" s="31" t="s">
        <v>151</v>
      </c>
      <c r="F6" s="31">
        <f>VLOOKUP(A6,'Lookup Function'!$A$2:$I$10,6,0)</f>
        <v>0.8</v>
      </c>
      <c r="G6" s="31">
        <v>600</v>
      </c>
      <c r="H6" s="31">
        <f t="shared" si="0"/>
        <v>480</v>
      </c>
      <c r="I6" s="32" t="s">
        <v>90</v>
      </c>
      <c r="L6" s="6">
        <v>8</v>
      </c>
    </row>
    <row r="7" spans="1:15" ht="30" x14ac:dyDescent="0.25">
      <c r="A7" s="30" t="s">
        <v>140</v>
      </c>
      <c r="B7" s="31" t="s">
        <v>148</v>
      </c>
      <c r="C7" s="31" t="s">
        <v>152</v>
      </c>
      <c r="D7" s="31" t="s">
        <v>156</v>
      </c>
      <c r="E7" s="31" t="s">
        <v>151</v>
      </c>
      <c r="F7" s="31">
        <f>VLOOKUP(A7,'Lookup Function'!$A$2:$I$10,6,0)</f>
        <v>0.9</v>
      </c>
      <c r="G7" s="31">
        <v>200</v>
      </c>
      <c r="H7" s="31">
        <f t="shared" si="0"/>
        <v>180</v>
      </c>
      <c r="I7" s="32" t="s">
        <v>158</v>
      </c>
      <c r="L7" s="6">
        <v>10</v>
      </c>
    </row>
    <row r="8" spans="1:15" ht="30" x14ac:dyDescent="0.25">
      <c r="A8" s="30" t="s">
        <v>135</v>
      </c>
      <c r="B8" s="31" t="s">
        <v>147</v>
      </c>
      <c r="C8" s="31" t="s">
        <v>152</v>
      </c>
      <c r="D8" s="31" t="s">
        <v>153</v>
      </c>
      <c r="E8" s="31" t="s">
        <v>154</v>
      </c>
      <c r="F8" s="31">
        <f>VLOOKUP(A8,'Lookup Function'!$A$2:$I$10,6,0)</f>
        <v>0.5</v>
      </c>
      <c r="G8" s="31">
        <v>100</v>
      </c>
      <c r="H8" s="31">
        <f t="shared" si="0"/>
        <v>50</v>
      </c>
      <c r="I8" s="32" t="s">
        <v>155</v>
      </c>
      <c r="L8" s="6">
        <v>20</v>
      </c>
    </row>
    <row r="9" spans="1:15" ht="30" x14ac:dyDescent="0.25">
      <c r="A9" s="35" t="s">
        <v>138</v>
      </c>
      <c r="B9" s="36" t="s">
        <v>149</v>
      </c>
      <c r="C9" s="36" t="s">
        <v>152</v>
      </c>
      <c r="D9" s="36" t="s">
        <v>150</v>
      </c>
      <c r="E9" s="36" t="s">
        <v>154</v>
      </c>
      <c r="F9" s="31">
        <f>VLOOKUP(A9,'Lookup Function'!$A$2:$I$10,6,0)</f>
        <v>0.5</v>
      </c>
      <c r="G9" s="36">
        <v>500</v>
      </c>
      <c r="H9" s="31">
        <f t="shared" si="0"/>
        <v>250</v>
      </c>
      <c r="I9" s="37" t="s">
        <v>90</v>
      </c>
      <c r="L9" s="6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6" t="s">
        <v>233</v>
      </c>
    </row>
    <row r="2" spans="1:2" x14ac:dyDescent="0.25">
      <c r="A2" s="6">
        <v>1</v>
      </c>
      <c r="B2" s="6" t="s">
        <v>234</v>
      </c>
    </row>
    <row r="3" spans="1:2" x14ac:dyDescent="0.25">
      <c r="A3" s="6">
        <v>2</v>
      </c>
      <c r="B3" s="6" t="s">
        <v>235</v>
      </c>
    </row>
    <row r="4" spans="1:2" x14ac:dyDescent="0.25">
      <c r="A4" s="6">
        <v>3</v>
      </c>
      <c r="B4" s="6" t="s">
        <v>236</v>
      </c>
    </row>
    <row r="5" spans="1:2" x14ac:dyDescent="0.25">
      <c r="A5" s="6">
        <v>4</v>
      </c>
      <c r="B5" s="6" t="s">
        <v>237</v>
      </c>
    </row>
    <row r="6" spans="1:2" x14ac:dyDescent="0.25">
      <c r="A6" s="6">
        <v>5</v>
      </c>
      <c r="B6" s="6" t="s">
        <v>238</v>
      </c>
    </row>
    <row r="7" spans="1:2" x14ac:dyDescent="0.25">
      <c r="A7" s="6">
        <v>6</v>
      </c>
      <c r="B7" s="6" t="s">
        <v>239</v>
      </c>
    </row>
    <row r="21" spans="1:2" ht="15.75" customHeight="1" x14ac:dyDescent="0.25">
      <c r="A21" s="6">
        <v>7</v>
      </c>
      <c r="B21" s="6" t="s">
        <v>215</v>
      </c>
    </row>
    <row r="22" spans="1:2" ht="15.75" customHeight="1" x14ac:dyDescent="0.25">
      <c r="A22" s="6">
        <v>8</v>
      </c>
      <c r="B22" s="6" t="s">
        <v>240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1.7109375" customWidth="1"/>
    <col min="3" max="26" width="8.7109375" customWidth="1"/>
  </cols>
  <sheetData>
    <row r="1" spans="1:10" x14ac:dyDescent="0.25">
      <c r="A1" s="5" t="s">
        <v>241</v>
      </c>
      <c r="B1" s="73" t="s">
        <v>0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242</v>
      </c>
      <c r="I1" s="73" t="s">
        <v>243</v>
      </c>
      <c r="J1" s="73" t="s">
        <v>6</v>
      </c>
    </row>
    <row r="2" spans="1:10" x14ac:dyDescent="0.25">
      <c r="A2" s="5">
        <v>1</v>
      </c>
      <c r="B2" s="5" t="s">
        <v>244</v>
      </c>
      <c r="C2" s="5">
        <v>71</v>
      </c>
      <c r="D2" s="5">
        <v>11</v>
      </c>
      <c r="E2" s="5">
        <v>33</v>
      </c>
      <c r="F2" s="5">
        <v>10</v>
      </c>
      <c r="G2" s="5">
        <v>38</v>
      </c>
      <c r="H2" s="5">
        <v>48</v>
      </c>
      <c r="I2" s="5">
        <v>33</v>
      </c>
      <c r="J2" s="5">
        <f t="shared" ref="J2:J10" si="0">SUM(C2:I2)</f>
        <v>244</v>
      </c>
    </row>
    <row r="3" spans="1:10" x14ac:dyDescent="0.25">
      <c r="A3" s="5">
        <v>2</v>
      </c>
      <c r="B3" s="5" t="s">
        <v>245</v>
      </c>
      <c r="C3" s="5">
        <v>60</v>
      </c>
      <c r="D3" s="5">
        <v>83</v>
      </c>
      <c r="E3" s="5">
        <v>21</v>
      </c>
      <c r="F3" s="5">
        <v>16</v>
      </c>
      <c r="G3" s="5">
        <v>34</v>
      </c>
      <c r="H3" s="5">
        <v>3</v>
      </c>
      <c r="I3" s="5">
        <v>99</v>
      </c>
      <c r="J3" s="5">
        <f t="shared" si="0"/>
        <v>316</v>
      </c>
    </row>
    <row r="4" spans="1:10" x14ac:dyDescent="0.25">
      <c r="A4" s="5">
        <v>5</v>
      </c>
      <c r="B4" s="5" t="s">
        <v>246</v>
      </c>
      <c r="C4" s="5">
        <v>36</v>
      </c>
      <c r="D4" s="5">
        <v>11</v>
      </c>
      <c r="E4" s="5">
        <v>68</v>
      </c>
      <c r="F4" s="5">
        <v>54</v>
      </c>
      <c r="G4" s="5">
        <v>22</v>
      </c>
      <c r="H4" s="5">
        <v>84</v>
      </c>
      <c r="I4" s="5">
        <v>82</v>
      </c>
      <c r="J4" s="5">
        <f t="shared" si="0"/>
        <v>357</v>
      </c>
    </row>
    <row r="5" spans="1:10" x14ac:dyDescent="0.25">
      <c r="A5" s="5">
        <v>6</v>
      </c>
      <c r="B5" s="74" t="s">
        <v>245</v>
      </c>
      <c r="C5" s="5">
        <v>95</v>
      </c>
      <c r="D5" s="5">
        <v>1</v>
      </c>
      <c r="E5" s="5">
        <v>9</v>
      </c>
      <c r="F5" s="5">
        <v>70</v>
      </c>
      <c r="G5" s="5">
        <v>22</v>
      </c>
      <c r="H5" s="5">
        <v>13</v>
      </c>
      <c r="I5" s="5">
        <v>47</v>
      </c>
      <c r="J5" s="5">
        <f t="shared" si="0"/>
        <v>257</v>
      </c>
    </row>
    <row r="6" spans="1:10" x14ac:dyDescent="0.25">
      <c r="A6" s="5">
        <v>7</v>
      </c>
      <c r="B6" s="5" t="s">
        <v>247</v>
      </c>
      <c r="C6" s="5">
        <v>29</v>
      </c>
      <c r="D6" s="5">
        <v>50</v>
      </c>
      <c r="E6" s="5">
        <v>62</v>
      </c>
      <c r="F6" s="5">
        <v>83</v>
      </c>
      <c r="G6" s="5">
        <v>63</v>
      </c>
      <c r="H6" s="5">
        <v>67</v>
      </c>
      <c r="I6" s="5">
        <v>2</v>
      </c>
      <c r="J6" s="5">
        <f t="shared" si="0"/>
        <v>356</v>
      </c>
    </row>
    <row r="7" spans="1:10" x14ac:dyDescent="0.25">
      <c r="A7" s="74">
        <v>3</v>
      </c>
      <c r="B7" s="74" t="s">
        <v>248</v>
      </c>
      <c r="C7" s="74">
        <v>44</v>
      </c>
      <c r="D7" s="74">
        <v>46</v>
      </c>
      <c r="E7" s="74">
        <v>86</v>
      </c>
      <c r="F7" s="74">
        <v>35</v>
      </c>
      <c r="G7" s="74">
        <v>97</v>
      </c>
      <c r="H7" s="74">
        <v>20</v>
      </c>
      <c r="I7" s="74">
        <v>37</v>
      </c>
      <c r="J7" s="74">
        <f t="shared" si="0"/>
        <v>365</v>
      </c>
    </row>
    <row r="8" spans="1:10" x14ac:dyDescent="0.25">
      <c r="A8" s="74">
        <v>4</v>
      </c>
      <c r="B8" s="74" t="s">
        <v>249</v>
      </c>
      <c r="C8" s="74">
        <v>63</v>
      </c>
      <c r="D8" s="74">
        <v>16</v>
      </c>
      <c r="E8" s="74">
        <v>64</v>
      </c>
      <c r="F8" s="74">
        <v>49</v>
      </c>
      <c r="G8" s="74">
        <v>14</v>
      </c>
      <c r="H8" s="74">
        <v>72</v>
      </c>
      <c r="I8" s="74">
        <v>60</v>
      </c>
      <c r="J8" s="74">
        <f t="shared" si="0"/>
        <v>338</v>
      </c>
    </row>
    <row r="9" spans="1:10" x14ac:dyDescent="0.25">
      <c r="A9" s="74">
        <v>8</v>
      </c>
      <c r="B9" s="74" t="s">
        <v>245</v>
      </c>
      <c r="C9" s="74">
        <v>42</v>
      </c>
      <c r="D9" s="74">
        <v>79</v>
      </c>
      <c r="E9" s="74">
        <v>81</v>
      </c>
      <c r="F9" s="74">
        <v>85</v>
      </c>
      <c r="G9" s="74">
        <v>7</v>
      </c>
      <c r="H9" s="74">
        <v>72</v>
      </c>
      <c r="I9" s="74">
        <v>94</v>
      </c>
      <c r="J9" s="74">
        <f t="shared" si="0"/>
        <v>460</v>
      </c>
    </row>
    <row r="10" spans="1:10" x14ac:dyDescent="0.25">
      <c r="A10" s="74">
        <v>9</v>
      </c>
      <c r="B10" s="74" t="s">
        <v>250</v>
      </c>
      <c r="C10" s="74">
        <v>70</v>
      </c>
      <c r="D10" s="74">
        <v>35</v>
      </c>
      <c r="E10" s="74">
        <v>77</v>
      </c>
      <c r="F10" s="74">
        <v>96</v>
      </c>
      <c r="G10" s="74">
        <v>80</v>
      </c>
      <c r="H10" s="74">
        <v>30</v>
      </c>
      <c r="I10" s="74">
        <v>86</v>
      </c>
      <c r="J10" s="74">
        <f t="shared" si="0"/>
        <v>474</v>
      </c>
    </row>
    <row r="13" spans="1:10" x14ac:dyDescent="0.25">
      <c r="A13" s="5" t="s">
        <v>241</v>
      </c>
      <c r="B13" s="73" t="s">
        <v>0</v>
      </c>
      <c r="C13" s="73" t="s">
        <v>1</v>
      </c>
      <c r="D13" s="73" t="s">
        <v>2</v>
      </c>
      <c r="E13" s="73" t="s">
        <v>3</v>
      </c>
      <c r="F13" s="73" t="s">
        <v>4</v>
      </c>
      <c r="G13" s="73" t="s">
        <v>5</v>
      </c>
      <c r="H13" s="73" t="s">
        <v>242</v>
      </c>
      <c r="I13" s="73" t="s">
        <v>243</v>
      </c>
      <c r="J13" s="73" t="s">
        <v>6</v>
      </c>
    </row>
    <row r="14" spans="1:10" x14ac:dyDescent="0.25">
      <c r="B14" s="6" t="s">
        <v>245</v>
      </c>
      <c r="E14" s="6" t="s">
        <v>251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5" t="s">
        <v>241</v>
      </c>
      <c r="B1" s="73" t="s">
        <v>0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242</v>
      </c>
      <c r="I1" s="73" t="s">
        <v>243</v>
      </c>
      <c r="J1" s="73" t="s">
        <v>6</v>
      </c>
    </row>
    <row r="2" spans="1:10" x14ac:dyDescent="0.25">
      <c r="A2" s="5">
        <v>2</v>
      </c>
      <c r="B2" s="5" t="s">
        <v>245</v>
      </c>
      <c r="C2" s="5">
        <v>60</v>
      </c>
      <c r="D2" s="5">
        <v>83</v>
      </c>
      <c r="E2" s="5">
        <v>21</v>
      </c>
      <c r="F2" s="5">
        <v>16</v>
      </c>
      <c r="G2" s="5">
        <v>34</v>
      </c>
      <c r="H2" s="5">
        <v>3</v>
      </c>
      <c r="I2" s="5">
        <v>99</v>
      </c>
      <c r="J2" s="5">
        <v>316</v>
      </c>
    </row>
    <row r="3" spans="1:10" x14ac:dyDescent="0.25">
      <c r="A3" s="74">
        <v>8</v>
      </c>
      <c r="B3" s="74" t="s">
        <v>245</v>
      </c>
      <c r="C3" s="74">
        <v>42</v>
      </c>
      <c r="D3" s="74">
        <v>79</v>
      </c>
      <c r="E3" s="74">
        <v>81</v>
      </c>
      <c r="F3" s="74">
        <v>85</v>
      </c>
      <c r="G3" s="74">
        <v>7</v>
      </c>
      <c r="H3" s="74">
        <v>72</v>
      </c>
      <c r="I3" s="74">
        <v>94</v>
      </c>
      <c r="J3" s="74">
        <v>460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F1000"/>
  <sheetViews>
    <sheetView workbookViewId="0"/>
  </sheetViews>
  <sheetFormatPr defaultColWidth="14.42578125" defaultRowHeight="15" customHeight="1" x14ac:dyDescent="0.25"/>
  <cols>
    <col min="1" max="3" width="14.28515625" customWidth="1"/>
    <col min="4" max="4" width="17.85546875" customWidth="1"/>
    <col min="5" max="6" width="14.28515625" customWidth="1"/>
    <col min="7" max="26" width="8.7109375" customWidth="1"/>
  </cols>
  <sheetData>
    <row r="1" spans="1:6" x14ac:dyDescent="0.25">
      <c r="A1" s="72" t="s">
        <v>252</v>
      </c>
      <c r="B1" s="72" t="s">
        <v>253</v>
      </c>
      <c r="C1" s="72" t="s">
        <v>254</v>
      </c>
      <c r="D1" s="72" t="s">
        <v>255</v>
      </c>
      <c r="E1" s="72" t="s">
        <v>256</v>
      </c>
      <c r="F1" s="72" t="s">
        <v>257</v>
      </c>
    </row>
    <row r="2" spans="1:6" ht="30" x14ac:dyDescent="0.25">
      <c r="A2" s="41" t="s">
        <v>258</v>
      </c>
      <c r="B2" s="41" t="s">
        <v>259</v>
      </c>
      <c r="C2" s="41" t="s">
        <v>260</v>
      </c>
      <c r="D2" s="6" t="s">
        <v>261</v>
      </c>
      <c r="E2" s="41">
        <v>60022</v>
      </c>
      <c r="F2" s="41" t="s">
        <v>262</v>
      </c>
    </row>
    <row r="3" spans="1:6" ht="30" x14ac:dyDescent="0.25">
      <c r="A3" s="41" t="s">
        <v>263</v>
      </c>
      <c r="B3" s="41" t="s">
        <v>264</v>
      </c>
      <c r="C3" s="41" t="s">
        <v>265</v>
      </c>
      <c r="D3" s="6" t="s">
        <v>266</v>
      </c>
      <c r="E3" s="41">
        <v>7458</v>
      </c>
      <c r="F3" s="41" t="s">
        <v>267</v>
      </c>
    </row>
    <row r="4" spans="1:6" x14ac:dyDescent="0.25">
      <c r="A4" s="41" t="s">
        <v>268</v>
      </c>
      <c r="B4" s="41" t="s">
        <v>269</v>
      </c>
      <c r="C4" s="41" t="s">
        <v>270</v>
      </c>
      <c r="D4" s="6" t="s">
        <v>271</v>
      </c>
      <c r="E4" s="41">
        <v>20198</v>
      </c>
      <c r="F4" s="41" t="s">
        <v>272</v>
      </c>
    </row>
    <row r="5" spans="1:6" ht="30" x14ac:dyDescent="0.25">
      <c r="A5" s="41" t="s">
        <v>273</v>
      </c>
      <c r="B5" s="41" t="s">
        <v>274</v>
      </c>
      <c r="C5" s="41" t="s">
        <v>275</v>
      </c>
      <c r="D5" s="6" t="s">
        <v>276</v>
      </c>
      <c r="E5" s="41">
        <v>94111</v>
      </c>
      <c r="F5" s="41" t="s">
        <v>277</v>
      </c>
    </row>
    <row r="6" spans="1:6" x14ac:dyDescent="0.25">
      <c r="A6" s="41" t="s">
        <v>278</v>
      </c>
      <c r="B6" s="41" t="s">
        <v>279</v>
      </c>
      <c r="C6" s="41" t="s">
        <v>280</v>
      </c>
      <c r="D6" s="6" t="s">
        <v>281</v>
      </c>
      <c r="E6" s="41">
        <v>6883</v>
      </c>
      <c r="F6" s="41" t="s">
        <v>282</v>
      </c>
    </row>
    <row r="7" spans="1:6" x14ac:dyDescent="0.25">
      <c r="A7" s="41" t="s">
        <v>283</v>
      </c>
      <c r="B7" s="41" t="s">
        <v>284</v>
      </c>
      <c r="C7" s="41" t="s">
        <v>285</v>
      </c>
      <c r="D7" s="6" t="s">
        <v>286</v>
      </c>
      <c r="E7" s="41">
        <v>60521</v>
      </c>
      <c r="F7" s="41" t="s">
        <v>287</v>
      </c>
    </row>
    <row r="8" spans="1:6" ht="30" x14ac:dyDescent="0.25">
      <c r="A8" s="41" t="s">
        <v>288</v>
      </c>
      <c r="B8" s="41" t="s">
        <v>289</v>
      </c>
      <c r="C8" s="41" t="s">
        <v>290</v>
      </c>
      <c r="D8" s="6" t="s">
        <v>291</v>
      </c>
      <c r="E8" s="41">
        <v>33786</v>
      </c>
      <c r="F8" s="41" t="s">
        <v>292</v>
      </c>
    </row>
    <row r="9" spans="1:6" ht="30" x14ac:dyDescent="0.25">
      <c r="A9" s="41" t="s">
        <v>293</v>
      </c>
      <c r="B9" s="41" t="s">
        <v>294</v>
      </c>
      <c r="C9" s="41" t="s">
        <v>295</v>
      </c>
      <c r="D9" s="6" t="s">
        <v>296</v>
      </c>
      <c r="E9" s="41">
        <v>7760</v>
      </c>
      <c r="F9" s="41" t="s">
        <v>297</v>
      </c>
    </row>
    <row r="10" spans="1:6" ht="45" x14ac:dyDescent="0.25">
      <c r="A10" s="41" t="s">
        <v>298</v>
      </c>
      <c r="B10" s="41" t="s">
        <v>299</v>
      </c>
      <c r="C10" s="41" t="s">
        <v>300</v>
      </c>
      <c r="D10" s="6" t="s">
        <v>301</v>
      </c>
      <c r="E10" s="41">
        <v>7417</v>
      </c>
      <c r="F10" s="41" t="s">
        <v>302</v>
      </c>
    </row>
    <row r="11" spans="1:6" ht="30" x14ac:dyDescent="0.25">
      <c r="A11" s="41" t="s">
        <v>303</v>
      </c>
      <c r="B11" s="41" t="s">
        <v>304</v>
      </c>
      <c r="C11" s="41" t="s">
        <v>305</v>
      </c>
      <c r="D11" s="6" t="s">
        <v>306</v>
      </c>
      <c r="E11" s="41">
        <v>1770</v>
      </c>
      <c r="F11" s="41" t="s">
        <v>307</v>
      </c>
    </row>
    <row r="12" spans="1:6" ht="30" x14ac:dyDescent="0.25">
      <c r="A12" s="41" t="s">
        <v>308</v>
      </c>
      <c r="B12" s="41" t="s">
        <v>309</v>
      </c>
      <c r="C12" s="41" t="s">
        <v>310</v>
      </c>
      <c r="D12" s="6" t="s">
        <v>311</v>
      </c>
      <c r="E12" s="41">
        <v>6880</v>
      </c>
      <c r="F12" s="41" t="s">
        <v>312</v>
      </c>
    </row>
    <row r="13" spans="1:6" ht="30" x14ac:dyDescent="0.25">
      <c r="A13" s="41" t="s">
        <v>313</v>
      </c>
      <c r="B13" s="41" t="s">
        <v>314</v>
      </c>
      <c r="C13" s="41" t="s">
        <v>315</v>
      </c>
      <c r="D13" s="6" t="s">
        <v>316</v>
      </c>
      <c r="E13" s="41">
        <v>76102</v>
      </c>
      <c r="F13" s="41" t="s">
        <v>317</v>
      </c>
    </row>
    <row r="14" spans="1:6" ht="30" x14ac:dyDescent="0.25">
      <c r="A14" s="41" t="s">
        <v>318</v>
      </c>
      <c r="B14" s="41" t="s">
        <v>319</v>
      </c>
      <c r="C14" s="41" t="s">
        <v>320</v>
      </c>
      <c r="D14" s="6" t="s">
        <v>321</v>
      </c>
      <c r="E14" s="41">
        <v>94028</v>
      </c>
      <c r="F14" s="41" t="s">
        <v>322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501D-60B6-47D1-9CC8-EFFC3418E673}">
  <sheetPr codeName="Sheet16"/>
  <dimension ref="A1:U25"/>
  <sheetViews>
    <sheetView topLeftCell="A12" workbookViewId="0">
      <selection activeCell="K23" sqref="K23"/>
    </sheetView>
  </sheetViews>
  <sheetFormatPr defaultRowHeight="15" x14ac:dyDescent="0.25"/>
  <sheetData>
    <row r="1" spans="1:21" ht="30.75" thickBot="1" x14ac:dyDescent="0.3">
      <c r="A1" s="77" t="s">
        <v>125</v>
      </c>
      <c r="B1" s="78" t="s">
        <v>126</v>
      </c>
      <c r="C1" s="78" t="s">
        <v>127</v>
      </c>
      <c r="D1" s="78" t="s">
        <v>128</v>
      </c>
      <c r="E1" s="78" t="s">
        <v>129</v>
      </c>
      <c r="F1" s="78" t="s">
        <v>130</v>
      </c>
      <c r="G1" s="78" t="s">
        <v>131</v>
      </c>
      <c r="H1" s="78" t="s">
        <v>132</v>
      </c>
      <c r="I1" s="79" t="s">
        <v>55</v>
      </c>
      <c r="M1" s="77" t="s">
        <v>125</v>
      </c>
      <c r="N1" s="43" t="s">
        <v>133</v>
      </c>
      <c r="O1" s="30" t="s">
        <v>134</v>
      </c>
      <c r="P1" s="30" t="s">
        <v>135</v>
      </c>
      <c r="Q1" s="30" t="s">
        <v>136</v>
      </c>
      <c r="R1" s="30" t="s">
        <v>137</v>
      </c>
      <c r="S1" s="30" t="s">
        <v>138</v>
      </c>
      <c r="T1" s="30" t="s">
        <v>139</v>
      </c>
      <c r="U1" s="35" t="s">
        <v>140</v>
      </c>
    </row>
    <row r="2" spans="1:21" ht="30.75" thickBot="1" x14ac:dyDescent="0.3">
      <c r="A2" s="43" t="s">
        <v>133</v>
      </c>
      <c r="B2" s="44" t="s">
        <v>141</v>
      </c>
      <c r="C2" s="44" t="s">
        <v>142</v>
      </c>
      <c r="D2" s="44" t="s">
        <v>143</v>
      </c>
      <c r="E2" s="44" t="s">
        <v>144</v>
      </c>
      <c r="F2" s="44">
        <v>10</v>
      </c>
      <c r="G2" s="44">
        <v>600</v>
      </c>
      <c r="H2" s="44">
        <f t="shared" ref="H2:H9" si="0">PRODUCT(F2,G2)</f>
        <v>6000</v>
      </c>
      <c r="I2" s="80" t="s">
        <v>145</v>
      </c>
      <c r="M2" s="78" t="s">
        <v>126</v>
      </c>
      <c r="N2" s="44" t="s">
        <v>141</v>
      </c>
      <c r="O2" s="31" t="s">
        <v>146</v>
      </c>
      <c r="P2" s="31" t="s">
        <v>147</v>
      </c>
      <c r="Q2" s="31" t="s">
        <v>148</v>
      </c>
      <c r="R2" s="31" t="s">
        <v>141</v>
      </c>
      <c r="S2" s="31" t="s">
        <v>149</v>
      </c>
      <c r="T2" s="31" t="s">
        <v>146</v>
      </c>
      <c r="U2" s="36" t="s">
        <v>148</v>
      </c>
    </row>
    <row r="3" spans="1:21" ht="30.75" thickBot="1" x14ac:dyDescent="0.3">
      <c r="A3" s="30" t="s">
        <v>134</v>
      </c>
      <c r="B3" s="31" t="s">
        <v>146</v>
      </c>
      <c r="C3" s="31" t="s">
        <v>142</v>
      </c>
      <c r="D3" s="31" t="s">
        <v>150</v>
      </c>
      <c r="E3" s="31" t="s">
        <v>151</v>
      </c>
      <c r="F3" s="31">
        <v>15</v>
      </c>
      <c r="G3" s="31">
        <v>400</v>
      </c>
      <c r="H3" s="31">
        <f t="shared" si="0"/>
        <v>6000</v>
      </c>
      <c r="I3" s="32" t="s">
        <v>145</v>
      </c>
      <c r="M3" s="78" t="s">
        <v>127</v>
      </c>
      <c r="N3" s="44" t="s">
        <v>142</v>
      </c>
      <c r="O3" s="31" t="s">
        <v>142</v>
      </c>
      <c r="P3" s="31" t="s">
        <v>152</v>
      </c>
      <c r="Q3" s="31" t="s">
        <v>152</v>
      </c>
      <c r="R3" s="31" t="s">
        <v>142</v>
      </c>
      <c r="S3" s="31" t="s">
        <v>152</v>
      </c>
      <c r="T3" s="31" t="s">
        <v>142</v>
      </c>
      <c r="U3" s="36" t="s">
        <v>152</v>
      </c>
    </row>
    <row r="4" spans="1:21" ht="30.75" thickBot="1" x14ac:dyDescent="0.3">
      <c r="A4" s="30" t="s">
        <v>135</v>
      </c>
      <c r="B4" s="31" t="s">
        <v>147</v>
      </c>
      <c r="C4" s="31" t="s">
        <v>152</v>
      </c>
      <c r="D4" s="31" t="s">
        <v>153</v>
      </c>
      <c r="E4" s="31" t="s">
        <v>154</v>
      </c>
      <c r="F4" s="31">
        <v>20</v>
      </c>
      <c r="G4" s="31">
        <v>100</v>
      </c>
      <c r="H4" s="31">
        <f t="shared" si="0"/>
        <v>2000</v>
      </c>
      <c r="I4" s="32" t="s">
        <v>155</v>
      </c>
      <c r="M4" s="78" t="s">
        <v>128</v>
      </c>
      <c r="N4" s="44" t="s">
        <v>143</v>
      </c>
      <c r="O4" s="31" t="s">
        <v>150</v>
      </c>
      <c r="P4" s="31" t="s">
        <v>153</v>
      </c>
      <c r="Q4" s="31" t="s">
        <v>156</v>
      </c>
      <c r="R4" s="31" t="s">
        <v>143</v>
      </c>
      <c r="S4" s="31" t="s">
        <v>150</v>
      </c>
      <c r="T4" s="31" t="s">
        <v>153</v>
      </c>
      <c r="U4" s="36" t="s">
        <v>156</v>
      </c>
    </row>
    <row r="5" spans="1:21" ht="30.75" thickBot="1" x14ac:dyDescent="0.3">
      <c r="A5" s="30" t="s">
        <v>136</v>
      </c>
      <c r="B5" s="31" t="s">
        <v>148</v>
      </c>
      <c r="C5" s="31" t="s">
        <v>152</v>
      </c>
      <c r="D5" s="31" t="s">
        <v>156</v>
      </c>
      <c r="E5" s="31" t="s">
        <v>144</v>
      </c>
      <c r="F5" s="31">
        <v>12</v>
      </c>
      <c r="G5" s="31">
        <v>200</v>
      </c>
      <c r="H5" s="31">
        <f t="shared" si="0"/>
        <v>2400</v>
      </c>
      <c r="I5" s="32" t="s">
        <v>155</v>
      </c>
      <c r="M5" s="78" t="s">
        <v>129</v>
      </c>
      <c r="N5" s="44" t="s">
        <v>144</v>
      </c>
      <c r="O5" s="31" t="s">
        <v>151</v>
      </c>
      <c r="P5" s="31" t="s">
        <v>154</v>
      </c>
      <c r="Q5" s="31" t="s">
        <v>144</v>
      </c>
      <c r="R5" s="31" t="s">
        <v>151</v>
      </c>
      <c r="S5" s="31" t="s">
        <v>154</v>
      </c>
      <c r="T5" s="31" t="s">
        <v>144</v>
      </c>
      <c r="U5" s="36" t="s">
        <v>151</v>
      </c>
    </row>
    <row r="6" spans="1:21" ht="30.75" thickBot="1" x14ac:dyDescent="0.3">
      <c r="A6" s="30" t="s">
        <v>137</v>
      </c>
      <c r="B6" s="31" t="s">
        <v>141</v>
      </c>
      <c r="C6" s="31" t="s">
        <v>142</v>
      </c>
      <c r="D6" s="31" t="s">
        <v>143</v>
      </c>
      <c r="E6" s="31" t="s">
        <v>151</v>
      </c>
      <c r="F6" s="31">
        <v>8</v>
      </c>
      <c r="G6" s="31">
        <v>600</v>
      </c>
      <c r="H6" s="31">
        <f t="shared" si="0"/>
        <v>4800</v>
      </c>
      <c r="I6" s="32" t="s">
        <v>90</v>
      </c>
      <c r="M6" s="78" t="s">
        <v>130</v>
      </c>
      <c r="N6" s="44">
        <v>10</v>
      </c>
      <c r="O6" s="31">
        <v>15</v>
      </c>
      <c r="P6" s="31">
        <v>20</v>
      </c>
      <c r="Q6" s="31">
        <v>12</v>
      </c>
      <c r="R6" s="31">
        <v>8</v>
      </c>
      <c r="S6" s="31">
        <v>5</v>
      </c>
      <c r="T6" s="31">
        <v>18</v>
      </c>
      <c r="U6" s="36">
        <v>10</v>
      </c>
    </row>
    <row r="7" spans="1:21" ht="30.75" thickBot="1" x14ac:dyDescent="0.3">
      <c r="A7" s="30" t="s">
        <v>138</v>
      </c>
      <c r="B7" s="31" t="s">
        <v>149</v>
      </c>
      <c r="C7" s="31" t="s">
        <v>152</v>
      </c>
      <c r="D7" s="31" t="s">
        <v>150</v>
      </c>
      <c r="E7" s="31" t="s">
        <v>154</v>
      </c>
      <c r="F7" s="31">
        <v>5</v>
      </c>
      <c r="G7" s="31">
        <v>500</v>
      </c>
      <c r="H7" s="31">
        <f t="shared" si="0"/>
        <v>2500</v>
      </c>
      <c r="I7" s="32" t="s">
        <v>90</v>
      </c>
      <c r="M7" s="78" t="s">
        <v>131</v>
      </c>
      <c r="N7" s="44">
        <v>600</v>
      </c>
      <c r="O7" s="31">
        <v>400</v>
      </c>
      <c r="P7" s="31">
        <v>100</v>
      </c>
      <c r="Q7" s="31">
        <v>200</v>
      </c>
      <c r="R7" s="31">
        <v>600</v>
      </c>
      <c r="S7" s="31">
        <v>500</v>
      </c>
      <c r="T7" s="31">
        <v>400</v>
      </c>
      <c r="U7" s="36">
        <v>200</v>
      </c>
    </row>
    <row r="8" spans="1:21" ht="30.75" thickBot="1" x14ac:dyDescent="0.3">
      <c r="A8" s="30" t="s">
        <v>139</v>
      </c>
      <c r="B8" s="31" t="s">
        <v>146</v>
      </c>
      <c r="C8" s="31" t="s">
        <v>142</v>
      </c>
      <c r="D8" s="31" t="s">
        <v>153</v>
      </c>
      <c r="E8" s="31" t="s">
        <v>144</v>
      </c>
      <c r="F8" s="31">
        <v>18</v>
      </c>
      <c r="G8" s="31">
        <v>400</v>
      </c>
      <c r="H8" s="31">
        <f t="shared" si="0"/>
        <v>7200</v>
      </c>
      <c r="I8" s="32" t="s">
        <v>157</v>
      </c>
      <c r="M8" s="78" t="s">
        <v>132</v>
      </c>
      <c r="N8" s="44">
        <f t="shared" ref="N8:U8" si="1">PRODUCT(N6,N7)</f>
        <v>6000</v>
      </c>
      <c r="O8" s="31">
        <f t="shared" si="1"/>
        <v>6000</v>
      </c>
      <c r="P8" s="31">
        <f t="shared" si="1"/>
        <v>2000</v>
      </c>
      <c r="Q8" s="31">
        <f t="shared" si="1"/>
        <v>2400</v>
      </c>
      <c r="R8" s="31">
        <f t="shared" si="1"/>
        <v>4800</v>
      </c>
      <c r="S8" s="31">
        <f t="shared" si="1"/>
        <v>2500</v>
      </c>
      <c r="T8" s="31">
        <f t="shared" si="1"/>
        <v>7200</v>
      </c>
      <c r="U8" s="36">
        <f t="shared" si="1"/>
        <v>2000</v>
      </c>
    </row>
    <row r="9" spans="1:21" ht="30.75" thickBot="1" x14ac:dyDescent="0.3">
      <c r="A9" s="35" t="s">
        <v>140</v>
      </c>
      <c r="B9" s="36" t="s">
        <v>148</v>
      </c>
      <c r="C9" s="36" t="s">
        <v>152</v>
      </c>
      <c r="D9" s="36" t="s">
        <v>156</v>
      </c>
      <c r="E9" s="36" t="s">
        <v>151</v>
      </c>
      <c r="F9" s="36">
        <v>10</v>
      </c>
      <c r="G9" s="36">
        <v>200</v>
      </c>
      <c r="H9" s="36">
        <f t="shared" si="0"/>
        <v>2000</v>
      </c>
      <c r="I9" s="37" t="s">
        <v>158</v>
      </c>
      <c r="M9" s="79" t="s">
        <v>55</v>
      </c>
      <c r="N9" s="80" t="s">
        <v>145</v>
      </c>
      <c r="O9" s="32" t="s">
        <v>145</v>
      </c>
      <c r="P9" s="32" t="s">
        <v>155</v>
      </c>
      <c r="Q9" s="32" t="s">
        <v>155</v>
      </c>
      <c r="R9" s="32" t="s">
        <v>90</v>
      </c>
      <c r="S9" s="32" t="s">
        <v>90</v>
      </c>
      <c r="T9" s="32" t="s">
        <v>157</v>
      </c>
      <c r="U9" s="37" t="s">
        <v>158</v>
      </c>
    </row>
    <row r="16" spans="1:21" ht="15.75" thickBot="1" x14ac:dyDescent="0.3">
      <c r="A16" s="6" t="s">
        <v>122</v>
      </c>
    </row>
    <row r="17" spans="1:9" ht="30.75" thickBot="1" x14ac:dyDescent="0.3">
      <c r="A17" s="77" t="s">
        <v>125</v>
      </c>
      <c r="B17" s="78" t="s">
        <v>126</v>
      </c>
      <c r="C17" s="78" t="s">
        <v>127</v>
      </c>
      <c r="D17" s="78" t="s">
        <v>128</v>
      </c>
      <c r="E17" s="78" t="s">
        <v>129</v>
      </c>
      <c r="F17" s="78" t="s">
        <v>130</v>
      </c>
      <c r="G17" s="78" t="s">
        <v>131</v>
      </c>
      <c r="H17" s="78" t="s">
        <v>132</v>
      </c>
      <c r="I17" s="79" t="s">
        <v>55</v>
      </c>
    </row>
    <row r="18" spans="1:9" ht="30" x14ac:dyDescent="0.25">
      <c r="A18" s="43" t="s">
        <v>133</v>
      </c>
      <c r="B18" s="44" t="s">
        <v>141</v>
      </c>
      <c r="C18" s="44" t="s">
        <v>142</v>
      </c>
      <c r="D18" s="44" t="s">
        <v>143</v>
      </c>
      <c r="E18" s="44" t="s">
        <v>144</v>
      </c>
      <c r="F18" s="87">
        <v>0.9</v>
      </c>
      <c r="G18" s="44">
        <v>600</v>
      </c>
      <c r="H18" s="44">
        <f t="shared" ref="H18:H25" si="2">PRODUCT(F18,G18)</f>
        <v>540</v>
      </c>
      <c r="I18" s="80" t="s">
        <v>145</v>
      </c>
    </row>
    <row r="19" spans="1:9" ht="30" x14ac:dyDescent="0.25">
      <c r="A19" s="30" t="s">
        <v>134</v>
      </c>
      <c r="B19" s="31" t="s">
        <v>146</v>
      </c>
      <c r="C19" s="31" t="s">
        <v>142</v>
      </c>
      <c r="D19" s="31" t="s">
        <v>150</v>
      </c>
      <c r="E19" s="31" t="s">
        <v>151</v>
      </c>
      <c r="F19" s="88">
        <v>0.7</v>
      </c>
      <c r="G19" s="31">
        <v>400</v>
      </c>
      <c r="H19" s="31">
        <f t="shared" si="2"/>
        <v>280</v>
      </c>
      <c r="I19" s="32" t="s">
        <v>145</v>
      </c>
    </row>
    <row r="20" spans="1:9" ht="30" x14ac:dyDescent="0.25">
      <c r="A20" s="30" t="s">
        <v>135</v>
      </c>
      <c r="B20" s="31" t="s">
        <v>147</v>
      </c>
      <c r="C20" s="31" t="s">
        <v>152</v>
      </c>
      <c r="D20" s="31" t="s">
        <v>153</v>
      </c>
      <c r="E20" s="31" t="s">
        <v>154</v>
      </c>
      <c r="F20" s="88">
        <v>0.5</v>
      </c>
      <c r="G20" s="31">
        <v>100</v>
      </c>
      <c r="H20" s="31">
        <f t="shared" si="2"/>
        <v>50</v>
      </c>
      <c r="I20" s="32" t="s">
        <v>155</v>
      </c>
    </row>
    <row r="21" spans="1:9" ht="30" x14ac:dyDescent="0.25">
      <c r="A21" s="30" t="s">
        <v>136</v>
      </c>
      <c r="B21" s="31" t="s">
        <v>148</v>
      </c>
      <c r="C21" s="31" t="s">
        <v>152</v>
      </c>
      <c r="D21" s="31" t="s">
        <v>156</v>
      </c>
      <c r="E21" s="31" t="s">
        <v>144</v>
      </c>
      <c r="F21" s="88">
        <v>0.6</v>
      </c>
      <c r="G21" s="31">
        <v>200</v>
      </c>
      <c r="H21" s="31">
        <f t="shared" si="2"/>
        <v>120</v>
      </c>
      <c r="I21" s="32" t="s">
        <v>155</v>
      </c>
    </row>
    <row r="22" spans="1:9" ht="30" x14ac:dyDescent="0.25">
      <c r="A22" s="30" t="s">
        <v>137</v>
      </c>
      <c r="B22" s="31" t="s">
        <v>141</v>
      </c>
      <c r="C22" s="31" t="s">
        <v>142</v>
      </c>
      <c r="D22" s="31" t="s">
        <v>143</v>
      </c>
      <c r="E22" s="31" t="s">
        <v>151</v>
      </c>
      <c r="F22" s="88">
        <v>0.8</v>
      </c>
      <c r="G22" s="31">
        <v>600</v>
      </c>
      <c r="H22" s="31">
        <f t="shared" si="2"/>
        <v>480</v>
      </c>
      <c r="I22" s="32" t="s">
        <v>90</v>
      </c>
    </row>
    <row r="23" spans="1:9" ht="30" x14ac:dyDescent="0.25">
      <c r="A23" s="30" t="s">
        <v>138</v>
      </c>
      <c r="B23" s="31" t="s">
        <v>149</v>
      </c>
      <c r="C23" s="31" t="s">
        <v>152</v>
      </c>
      <c r="D23" s="31" t="s">
        <v>150</v>
      </c>
      <c r="E23" s="31" t="s">
        <v>154</v>
      </c>
      <c r="F23" s="88">
        <v>0.5</v>
      </c>
      <c r="G23" s="31">
        <v>500</v>
      </c>
      <c r="H23" s="31">
        <f t="shared" si="2"/>
        <v>250</v>
      </c>
      <c r="I23" s="32" t="s">
        <v>90</v>
      </c>
    </row>
    <row r="24" spans="1:9" ht="30" x14ac:dyDescent="0.25">
      <c r="A24" s="30" t="s">
        <v>139</v>
      </c>
      <c r="B24" s="31" t="s">
        <v>146</v>
      </c>
      <c r="C24" s="31" t="s">
        <v>142</v>
      </c>
      <c r="D24" s="31" t="s">
        <v>153</v>
      </c>
      <c r="E24" s="31" t="s">
        <v>144</v>
      </c>
      <c r="F24" s="88">
        <v>1</v>
      </c>
      <c r="G24" s="31">
        <v>400</v>
      </c>
      <c r="H24" s="31">
        <f t="shared" si="2"/>
        <v>400</v>
      </c>
      <c r="I24" s="32" t="s">
        <v>157</v>
      </c>
    </row>
    <row r="25" spans="1:9" ht="30.75" thickBot="1" x14ac:dyDescent="0.3">
      <c r="A25" s="35" t="s">
        <v>140</v>
      </c>
      <c r="B25" s="36" t="s">
        <v>148</v>
      </c>
      <c r="C25" s="36" t="s">
        <v>152</v>
      </c>
      <c r="D25" s="36" t="s">
        <v>156</v>
      </c>
      <c r="E25" s="36" t="s">
        <v>151</v>
      </c>
      <c r="F25" s="89">
        <v>0.9</v>
      </c>
      <c r="G25" s="36">
        <v>200</v>
      </c>
      <c r="H25" s="36">
        <f t="shared" si="2"/>
        <v>180</v>
      </c>
      <c r="I25" s="37" t="s">
        <v>158</v>
      </c>
    </row>
  </sheetData>
  <conditionalFormatting sqref="F18:F25">
    <cfRule type="cellIs" dxfId="2" priority="1" operator="lessThan">
      <formula>0.75</formula>
    </cfRule>
    <cfRule type="cellIs" dxfId="1" priority="2" operator="equal">
      <formula>1</formula>
    </cfRule>
    <cfRule type="cellIs" dxfId="0" priority="3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Logical Function</vt:lpstr>
      <vt:lpstr>Date &amp; Time -24</vt:lpstr>
      <vt:lpstr>Text Function</vt:lpstr>
      <vt:lpstr>Database Function If Functions</vt:lpstr>
      <vt:lpstr>Filter and Sort</vt:lpstr>
      <vt:lpstr>Lookup Function</vt:lpstr>
      <vt:lpstr>FINANCIAL</vt:lpstr>
      <vt:lpstr>Index Match</vt:lpstr>
      <vt:lpstr>Hw Sheet</vt:lpstr>
      <vt:lpstr>Sheet5</vt:lpstr>
      <vt:lpstr>Sheet1</vt:lpstr>
      <vt:lpstr>Homework</vt:lpstr>
      <vt:lpstr>Sheet3</vt:lpstr>
      <vt:lpstr>Sheet2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2025-05-16T03:21:07Z</dcterms:created>
  <dcterms:modified xsi:type="dcterms:W3CDTF">2026-03-28T11:52:07Z</dcterms:modified>
</cp:coreProperties>
</file>