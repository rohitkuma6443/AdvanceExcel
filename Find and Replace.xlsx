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imple F&amp;R" sheetId="2" r:id="rId5"/>
    <sheet state="visible" name="Wildcard" sheetId="3" r:id="rId6"/>
    <sheet state="visible" name="Replace Asterisk" sheetId="4" r:id="rId7"/>
    <sheet state="visible" name="Format" sheetId="5" r:id="rId8"/>
    <sheet state="visible" name="Change Date Format" sheetId="6" r:id="rId9"/>
    <sheet state="visible" name="Line Break" sheetId="7" r:id="rId10"/>
  </sheets>
  <definedNames>
    <definedName hidden="1" localSheetId="0" name="_xlnm._FilterDatabase">Sheet1!$A$1:$K$16</definedName>
  </definedNames>
  <calcPr/>
  <extLst>
    <ext uri="GoogleSheetsCustomDataVersion2">
      <go:sheetsCustomData xmlns:go="http://customooxmlschemas.google.com/" r:id="rId11" roundtripDataChecksum="M6YDbw+5VIcSsb8BEjo1rYEk3e6AzC9/zLL2NoG+0g8="/>
    </ext>
  </extLst>
</workbook>
</file>

<file path=xl/sharedStrings.xml><?xml version="1.0" encoding="utf-8"?>
<sst xmlns="http://schemas.openxmlformats.org/spreadsheetml/2006/main" count="240" uniqueCount="111">
  <si>
    <t>Name</t>
  </si>
  <si>
    <t>Hindi</t>
  </si>
  <si>
    <t>English</t>
  </si>
  <si>
    <t>Maths</t>
  </si>
  <si>
    <t>Science</t>
  </si>
  <si>
    <t>History</t>
  </si>
  <si>
    <t>Total</t>
  </si>
  <si>
    <t>Min</t>
  </si>
  <si>
    <t>Max</t>
  </si>
  <si>
    <t>Count</t>
  </si>
  <si>
    <t>Average</t>
  </si>
  <si>
    <t>Name 7</t>
  </si>
  <si>
    <t>Name 10</t>
  </si>
  <si>
    <t>Name 1</t>
  </si>
  <si>
    <t>Name 4</t>
  </si>
  <si>
    <t>Name 13</t>
  </si>
  <si>
    <t>Last Name</t>
  </si>
  <si>
    <t>First Name</t>
  </si>
  <si>
    <t>Full Name</t>
  </si>
  <si>
    <t>Flash Filll</t>
  </si>
  <si>
    <t>Control + E</t>
  </si>
  <si>
    <t>Kumar</t>
  </si>
  <si>
    <t>Rohit</t>
  </si>
  <si>
    <t>MR. ROHIT KUMAR</t>
  </si>
  <si>
    <t>Mishra</t>
  </si>
  <si>
    <t>Ajay</t>
  </si>
  <si>
    <t>MR. AJAY MISHRA</t>
  </si>
  <si>
    <t>Singh</t>
  </si>
  <si>
    <t>Raju</t>
  </si>
  <si>
    <t>MR. RAJU SINGH</t>
  </si>
  <si>
    <t>Jain</t>
  </si>
  <si>
    <t>Ganesh</t>
  </si>
  <si>
    <t>MR. GANESH JAIN</t>
  </si>
  <si>
    <t>Pal</t>
  </si>
  <si>
    <t>Ravi</t>
  </si>
  <si>
    <t>MR. RAVI PAL</t>
  </si>
  <si>
    <t>Chauhan</t>
  </si>
  <si>
    <t>Mithlesh</t>
  </si>
  <si>
    <t>MR. MITHLESH CHAUHAN</t>
  </si>
  <si>
    <t>Parmar</t>
  </si>
  <si>
    <t>Ekta</t>
  </si>
  <si>
    <t>MRS. EKTA PARMAR</t>
  </si>
  <si>
    <t>Region</t>
  </si>
  <si>
    <t>Sales</t>
  </si>
  <si>
    <t>Jonathan Bain</t>
  </si>
  <si>
    <t>US</t>
  </si>
  <si>
    <t>Robert Collin</t>
  </si>
  <si>
    <t>Canada</t>
  </si>
  <si>
    <t>Orlando Ellis</t>
  </si>
  <si>
    <t>France</t>
  </si>
  <si>
    <t>Brandon Goss</t>
  </si>
  <si>
    <t>Kelly Lawrence</t>
  </si>
  <si>
    <t>Gloria Cowart</t>
  </si>
  <si>
    <t>Japan</t>
  </si>
  <si>
    <t>Santos Hance</t>
  </si>
  <si>
    <t>Shawn Henson</t>
  </si>
  <si>
    <t>Roger Murry</t>
  </si>
  <si>
    <t>Ernest Zuber</t>
  </si>
  <si>
    <t>Wesley Stephen</t>
  </si>
  <si>
    <t>Joseph Henriquez</t>
  </si>
  <si>
    <t>Tonya Mazzariello</t>
  </si>
  <si>
    <t>Jose Perkins</t>
  </si>
  <si>
    <t>Rolando Clark</t>
  </si>
  <si>
    <t>Get First Name</t>
  </si>
  <si>
    <t>Get Last Name</t>
  </si>
  <si>
    <t>Jonathan Bain (US)</t>
  </si>
  <si>
    <t>Robert Straus (APAC)</t>
  </si>
  <si>
    <t>Robert Straus</t>
  </si>
  <si>
    <t>Orlando Ellis (APAC)</t>
  </si>
  <si>
    <t>Brandon Goss (APAC)</t>
  </si>
  <si>
    <t>Kelly Lawrence (US)</t>
  </si>
  <si>
    <t>Gloria Cowart (MEA)</t>
  </si>
  <si>
    <t>Santos Hance (US)</t>
  </si>
  <si>
    <t>Shawn Henson (US)</t>
  </si>
  <si>
    <t>Roger Murry (APAC)</t>
  </si>
  <si>
    <t>Ernest Zuber (MEA)</t>
  </si>
  <si>
    <t>Wesley Stephen (US)</t>
  </si>
  <si>
    <t>Joseph Henriquez (MEA)</t>
  </si>
  <si>
    <t>Tonya Mazzariello (MEA)</t>
  </si>
  <si>
    <t>Jose Perkins (US)</t>
  </si>
  <si>
    <t>Rolando Clark (MEA)</t>
  </si>
  <si>
    <t>Jonathan Bain*</t>
  </si>
  <si>
    <t>Orlando Ellis *</t>
  </si>
  <si>
    <t>Gloria Cowart*</t>
  </si>
  <si>
    <t>Roger Murry**</t>
  </si>
  <si>
    <t>Wesley Stephen *</t>
  </si>
  <si>
    <t>Jose Perkins *</t>
  </si>
  <si>
    <t>Date</t>
  </si>
  <si>
    <t>20.09.2024</t>
  </si>
  <si>
    <t>22.12.2024</t>
  </si>
  <si>
    <t>21.09.2024</t>
  </si>
  <si>
    <t>10.09.2024</t>
  </si>
  <si>
    <t>11.09.2024</t>
  </si>
  <si>
    <t>29.07.2024</t>
  </si>
  <si>
    <t>25.10.2024</t>
  </si>
  <si>
    <t>09.11.2024</t>
  </si>
  <si>
    <t>10.08.2024</t>
  </si>
  <si>
    <t>07.12.2024</t>
  </si>
  <si>
    <t>08.10.2024</t>
  </si>
  <si>
    <t>31.10.2024</t>
  </si>
  <si>
    <t>09.09.2024</t>
  </si>
  <si>
    <t>26.11.2024</t>
  </si>
  <si>
    <t>29.10.2024</t>
  </si>
  <si>
    <t>Jonathan
Bain</t>
  </si>
  <si>
    <t>Robert
Straus</t>
  </si>
  <si>
    <t>Orlando
Ellis</t>
  </si>
  <si>
    <t>Brandon
Goss</t>
  </si>
  <si>
    <t>Kelly
Lawrence</t>
  </si>
  <si>
    <t>Gloria
Cowart</t>
  </si>
  <si>
    <t>Santos
Hance</t>
  </si>
  <si>
    <t>Shawn
Henson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</si>
</sst>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2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rimo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83CAEB"/>
        <bgColor rgb="FF83CAEB"/>
      </patternFill>
    </fill>
    <fill>
      <patternFill patternType="solid">
        <fgColor rgb="FFF6C6AC"/>
        <bgColor rgb="FFF6C6AC"/>
      </patternFill>
    </fill>
  </fills>
  <borders count="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2" numFmtId="0" xfId="0" applyBorder="1" applyFont="1"/>
    <xf borderId="5" fillId="0" fontId="3" numFmtId="0" xfId="0" applyBorder="1" applyFont="1"/>
    <xf borderId="5" fillId="0" fontId="4" numFmtId="0" xfId="0" applyBorder="1" applyFont="1"/>
    <xf borderId="6" fillId="0" fontId="4" numFmtId="0" xfId="0" applyBorder="1" applyFont="1"/>
    <xf borderId="5" fillId="2" fontId="3" numFmtId="0" xfId="0" applyBorder="1" applyFill="1" applyFont="1"/>
    <xf borderId="0" fillId="0" fontId="5" numFmtId="0" xfId="0" applyFont="1"/>
    <xf borderId="0" fillId="0" fontId="4" numFmtId="14" xfId="0" applyFont="1" applyNumberFormat="1"/>
    <xf borderId="0" fillId="0" fontId="2" numFmtId="0" xfId="0" applyFont="1"/>
    <xf borderId="7" fillId="3" fontId="6" numFmtId="0" xfId="0" applyAlignment="1" applyBorder="1" applyFill="1" applyFont="1">
      <alignment horizontal="center"/>
    </xf>
    <xf borderId="7" fillId="0" fontId="4" numFmtId="0" xfId="0" applyBorder="1" applyFont="1"/>
    <xf borderId="0" fillId="0" fontId="7" numFmtId="0" xfId="0" applyFont="1"/>
    <xf borderId="7" fillId="4" fontId="4" numFmtId="0" xfId="0" applyBorder="1" applyFill="1" applyFont="1"/>
    <xf borderId="7" fillId="5" fontId="4" numFmtId="0" xfId="0" applyBorder="1" applyFill="1" applyFont="1"/>
    <xf borderId="7" fillId="0" fontId="4" numFmtId="14" xfId="0" applyBorder="1" applyFont="1" applyNumberFormat="1"/>
    <xf borderId="7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88"/>
    <col customWidth="1" min="3" max="3" width="11.38"/>
    <col customWidth="1" min="4" max="4" width="8.63"/>
    <col customWidth="1" min="5" max="5" width="9.0"/>
    <col customWidth="1" min="6" max="8" width="8.63"/>
    <col customWidth="1" min="9" max="9" width="10.13"/>
    <col customWidth="1" min="10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4.25" customHeight="1">
      <c r="A2" s="4" t="s">
        <v>11</v>
      </c>
      <c r="B2" s="5">
        <v>22.0</v>
      </c>
      <c r="C2" s="5">
        <v>96.0</v>
      </c>
      <c r="D2" s="5">
        <v>4.0</v>
      </c>
      <c r="E2" s="5">
        <v>62.0</v>
      </c>
      <c r="F2" s="5">
        <v>87.0</v>
      </c>
      <c r="G2" s="5">
        <f t="shared" ref="G2:G16" si="1">SUM(B2:F2)</f>
        <v>271</v>
      </c>
      <c r="H2" s="6">
        <f t="shared" ref="H2:H16" si="2">MIN(B2:F2)</f>
        <v>4</v>
      </c>
      <c r="I2" s="6">
        <f t="shared" ref="I2:I16" si="3">MAX(B2:F2)</f>
        <v>96</v>
      </c>
      <c r="J2" s="6">
        <f t="shared" ref="J2:J16" si="4">COUNT(B2:F2)</f>
        <v>5</v>
      </c>
      <c r="K2" s="7">
        <f t="shared" ref="K2:K16" si="5">AVERAGE(B2:F2)</f>
        <v>54.2</v>
      </c>
    </row>
    <row r="3" ht="14.25" customHeight="1">
      <c r="A3" s="4" t="s">
        <v>12</v>
      </c>
      <c r="B3" s="5">
        <v>22.0</v>
      </c>
      <c r="C3" s="5">
        <v>13.0</v>
      </c>
      <c r="D3" s="5">
        <v>4.0</v>
      </c>
      <c r="E3" s="5">
        <v>38.0</v>
      </c>
      <c r="F3" s="5">
        <v>59.0</v>
      </c>
      <c r="G3" s="5">
        <f t="shared" si="1"/>
        <v>136</v>
      </c>
      <c r="H3" s="6">
        <f t="shared" si="2"/>
        <v>4</v>
      </c>
      <c r="I3" s="6">
        <f t="shared" si="3"/>
        <v>59</v>
      </c>
      <c r="J3" s="6">
        <f t="shared" si="4"/>
        <v>5</v>
      </c>
      <c r="K3" s="7">
        <f t="shared" si="5"/>
        <v>27.2</v>
      </c>
    </row>
    <row r="4" ht="14.25" customHeight="1">
      <c r="A4" s="4" t="s">
        <v>12</v>
      </c>
      <c r="B4" s="5">
        <v>6.0</v>
      </c>
      <c r="C4" s="5">
        <v>33.0</v>
      </c>
      <c r="D4" s="5">
        <v>92.0</v>
      </c>
      <c r="E4" s="5">
        <v>41.0</v>
      </c>
      <c r="F4" s="5">
        <v>31.0</v>
      </c>
      <c r="G4" s="5">
        <f t="shared" si="1"/>
        <v>203</v>
      </c>
      <c r="H4" s="6">
        <f t="shared" si="2"/>
        <v>6</v>
      </c>
      <c r="I4" s="6">
        <f t="shared" si="3"/>
        <v>92</v>
      </c>
      <c r="J4" s="6">
        <f t="shared" si="4"/>
        <v>5</v>
      </c>
      <c r="K4" s="7">
        <f t="shared" si="5"/>
        <v>40.6</v>
      </c>
    </row>
    <row r="5" ht="14.25" customHeight="1">
      <c r="A5" s="4" t="s">
        <v>13</v>
      </c>
      <c r="B5" s="8">
        <v>26.0</v>
      </c>
      <c r="C5" s="8">
        <v>86.0</v>
      </c>
      <c r="D5" s="8">
        <v>75.0</v>
      </c>
      <c r="E5" s="8">
        <v>34.0</v>
      </c>
      <c r="F5" s="8">
        <v>6.0</v>
      </c>
      <c r="G5" s="5">
        <f t="shared" si="1"/>
        <v>227</v>
      </c>
      <c r="H5" s="6">
        <f t="shared" si="2"/>
        <v>6</v>
      </c>
      <c r="I5" s="6">
        <f t="shared" si="3"/>
        <v>86</v>
      </c>
      <c r="J5" s="6">
        <f t="shared" si="4"/>
        <v>5</v>
      </c>
      <c r="K5" s="7">
        <f t="shared" si="5"/>
        <v>45.4</v>
      </c>
    </row>
    <row r="6" ht="14.25" customHeight="1">
      <c r="A6" s="4" t="s">
        <v>14</v>
      </c>
      <c r="B6" s="8">
        <v>28.0</v>
      </c>
      <c r="C6" s="8">
        <v>51.0</v>
      </c>
      <c r="D6" s="8">
        <v>20.0</v>
      </c>
      <c r="E6" s="8">
        <v>44.0</v>
      </c>
      <c r="F6" s="8">
        <v>17.0</v>
      </c>
      <c r="G6" s="5">
        <f t="shared" si="1"/>
        <v>160</v>
      </c>
      <c r="H6" s="6">
        <f t="shared" si="2"/>
        <v>17</v>
      </c>
      <c r="I6" s="6">
        <f t="shared" si="3"/>
        <v>51</v>
      </c>
      <c r="J6" s="6">
        <f t="shared" si="4"/>
        <v>5</v>
      </c>
      <c r="K6" s="7">
        <f t="shared" si="5"/>
        <v>32</v>
      </c>
    </row>
    <row r="7" ht="14.25" customHeight="1">
      <c r="A7" s="4" t="s">
        <v>13</v>
      </c>
      <c r="B7" s="5">
        <v>29.0</v>
      </c>
      <c r="C7" s="5">
        <v>97.0</v>
      </c>
      <c r="D7" s="5">
        <v>15.0</v>
      </c>
      <c r="E7" s="5">
        <v>67.0</v>
      </c>
      <c r="F7" s="5">
        <v>36.0</v>
      </c>
      <c r="G7" s="5">
        <f t="shared" si="1"/>
        <v>244</v>
      </c>
      <c r="H7" s="6">
        <f t="shared" si="2"/>
        <v>15</v>
      </c>
      <c r="I7" s="6">
        <f t="shared" si="3"/>
        <v>97</v>
      </c>
      <c r="J7" s="6">
        <f t="shared" si="4"/>
        <v>5</v>
      </c>
      <c r="K7" s="7">
        <f t="shared" si="5"/>
        <v>48.8</v>
      </c>
    </row>
    <row r="8" ht="14.25" customHeight="1">
      <c r="A8" s="4" t="s">
        <v>11</v>
      </c>
      <c r="B8" s="8">
        <v>32.0</v>
      </c>
      <c r="C8" s="8">
        <v>28.0</v>
      </c>
      <c r="D8" s="8">
        <v>32.0</v>
      </c>
      <c r="E8" s="8">
        <v>21.0</v>
      </c>
      <c r="F8" s="8">
        <v>14.0</v>
      </c>
      <c r="G8" s="5">
        <f t="shared" si="1"/>
        <v>127</v>
      </c>
      <c r="H8" s="6">
        <f t="shared" si="2"/>
        <v>14</v>
      </c>
      <c r="I8" s="6">
        <f t="shared" si="3"/>
        <v>32</v>
      </c>
      <c r="J8" s="6">
        <f t="shared" si="4"/>
        <v>5</v>
      </c>
      <c r="K8" s="7">
        <f t="shared" si="5"/>
        <v>25.4</v>
      </c>
    </row>
    <row r="9" ht="14.25" customHeight="1">
      <c r="A9" s="4" t="s">
        <v>15</v>
      </c>
      <c r="B9" s="8">
        <v>35.0</v>
      </c>
      <c r="C9" s="8">
        <v>72.0</v>
      </c>
      <c r="D9" s="8">
        <v>81.0</v>
      </c>
      <c r="E9" s="8">
        <v>71.0</v>
      </c>
      <c r="F9" s="8">
        <v>98.0</v>
      </c>
      <c r="G9" s="5">
        <f t="shared" si="1"/>
        <v>357</v>
      </c>
      <c r="H9" s="6">
        <f t="shared" si="2"/>
        <v>35</v>
      </c>
      <c r="I9" s="6">
        <f t="shared" si="3"/>
        <v>98</v>
      </c>
      <c r="J9" s="6">
        <f t="shared" si="4"/>
        <v>5</v>
      </c>
      <c r="K9" s="7">
        <f t="shared" si="5"/>
        <v>71.4</v>
      </c>
    </row>
    <row r="10" ht="14.25" customHeight="1">
      <c r="A10" s="4" t="s">
        <v>14</v>
      </c>
      <c r="B10" s="5">
        <v>39.0</v>
      </c>
      <c r="C10" s="5">
        <v>60.0</v>
      </c>
      <c r="D10" s="5">
        <v>13.0</v>
      </c>
      <c r="E10" s="5">
        <v>47.0</v>
      </c>
      <c r="F10" s="5">
        <v>41.0</v>
      </c>
      <c r="G10" s="5">
        <f t="shared" si="1"/>
        <v>200</v>
      </c>
      <c r="H10" s="6">
        <f t="shared" si="2"/>
        <v>13</v>
      </c>
      <c r="I10" s="6">
        <f t="shared" si="3"/>
        <v>60</v>
      </c>
      <c r="J10" s="6">
        <f t="shared" si="4"/>
        <v>5</v>
      </c>
      <c r="K10" s="7">
        <f t="shared" si="5"/>
        <v>40</v>
      </c>
    </row>
    <row r="11" ht="14.25" customHeight="1">
      <c r="A11" s="4" t="s">
        <v>15</v>
      </c>
      <c r="B11" s="5">
        <v>43.0</v>
      </c>
      <c r="C11" s="5">
        <v>36.0</v>
      </c>
      <c r="D11" s="5">
        <v>34.0</v>
      </c>
      <c r="E11" s="5">
        <v>9.0</v>
      </c>
      <c r="F11" s="5">
        <v>24.0</v>
      </c>
      <c r="G11" s="5">
        <f t="shared" si="1"/>
        <v>146</v>
      </c>
      <c r="H11" s="6">
        <f t="shared" si="2"/>
        <v>9</v>
      </c>
      <c r="I11" s="6">
        <f t="shared" si="3"/>
        <v>43</v>
      </c>
      <c r="J11" s="6">
        <f t="shared" si="4"/>
        <v>5</v>
      </c>
      <c r="K11" s="7">
        <f t="shared" si="5"/>
        <v>29.2</v>
      </c>
    </row>
    <row r="12" ht="14.25" customHeight="1">
      <c r="A12" s="4" t="s">
        <v>13</v>
      </c>
      <c r="B12" s="5">
        <v>44.0</v>
      </c>
      <c r="C12" s="5">
        <v>47.0</v>
      </c>
      <c r="D12" s="5">
        <v>42.0</v>
      </c>
      <c r="E12" s="5">
        <v>88.0</v>
      </c>
      <c r="F12" s="5">
        <v>29.0</v>
      </c>
      <c r="G12" s="5">
        <f t="shared" si="1"/>
        <v>250</v>
      </c>
      <c r="H12" s="6">
        <f t="shared" si="2"/>
        <v>29</v>
      </c>
      <c r="I12" s="6">
        <f t="shared" si="3"/>
        <v>88</v>
      </c>
      <c r="J12" s="6">
        <f t="shared" si="4"/>
        <v>5</v>
      </c>
      <c r="K12" s="7">
        <f t="shared" si="5"/>
        <v>50</v>
      </c>
    </row>
    <row r="13" ht="14.25" customHeight="1">
      <c r="A13" s="4" t="s">
        <v>14</v>
      </c>
      <c r="B13" s="5">
        <v>50.0</v>
      </c>
      <c r="C13" s="5">
        <v>19.0</v>
      </c>
      <c r="D13" s="5">
        <v>8.0</v>
      </c>
      <c r="E13" s="5">
        <v>29.0</v>
      </c>
      <c r="F13" s="5">
        <v>76.0</v>
      </c>
      <c r="G13" s="5">
        <f t="shared" si="1"/>
        <v>182</v>
      </c>
      <c r="H13" s="6">
        <f t="shared" si="2"/>
        <v>8</v>
      </c>
      <c r="I13" s="6">
        <f t="shared" si="3"/>
        <v>76</v>
      </c>
      <c r="J13" s="6">
        <f t="shared" si="4"/>
        <v>5</v>
      </c>
      <c r="K13" s="7">
        <f t="shared" si="5"/>
        <v>36.4</v>
      </c>
    </row>
    <row r="14" ht="14.25" customHeight="1">
      <c r="A14" s="4" t="s">
        <v>15</v>
      </c>
      <c r="B14" s="5">
        <v>68.0</v>
      </c>
      <c r="C14" s="5">
        <v>12.0</v>
      </c>
      <c r="D14" s="5">
        <v>46.0</v>
      </c>
      <c r="E14" s="5">
        <v>82.0</v>
      </c>
      <c r="F14" s="5">
        <v>14.0</v>
      </c>
      <c r="G14" s="5">
        <f t="shared" si="1"/>
        <v>222</v>
      </c>
      <c r="H14" s="6">
        <f t="shared" si="2"/>
        <v>12</v>
      </c>
      <c r="I14" s="6">
        <f t="shared" si="3"/>
        <v>82</v>
      </c>
      <c r="J14" s="6">
        <f t="shared" si="4"/>
        <v>5</v>
      </c>
      <c r="K14" s="7">
        <f t="shared" si="5"/>
        <v>44.4</v>
      </c>
    </row>
    <row r="15" ht="14.25" customHeight="1">
      <c r="A15" s="4" t="s">
        <v>11</v>
      </c>
      <c r="B15" s="8">
        <v>97.0</v>
      </c>
      <c r="C15" s="8">
        <v>26.0</v>
      </c>
      <c r="D15" s="8">
        <v>99.0</v>
      </c>
      <c r="E15" s="8">
        <v>67.0</v>
      </c>
      <c r="F15" s="8">
        <v>6.0</v>
      </c>
      <c r="G15" s="5">
        <f t="shared" si="1"/>
        <v>295</v>
      </c>
      <c r="H15" s="6">
        <f t="shared" si="2"/>
        <v>6</v>
      </c>
      <c r="I15" s="6">
        <f t="shared" si="3"/>
        <v>99</v>
      </c>
      <c r="J15" s="6">
        <f t="shared" si="4"/>
        <v>5</v>
      </c>
      <c r="K15" s="7">
        <f t="shared" si="5"/>
        <v>59</v>
      </c>
    </row>
    <row r="16" ht="14.25" customHeight="1">
      <c r="A16" s="4" t="s">
        <v>12</v>
      </c>
      <c r="B16" s="5">
        <v>100.0</v>
      </c>
      <c r="C16" s="5">
        <v>47.0</v>
      </c>
      <c r="D16" s="5">
        <v>27.0</v>
      </c>
      <c r="E16" s="5">
        <v>98.0</v>
      </c>
      <c r="F16" s="5">
        <v>67.0</v>
      </c>
      <c r="G16" s="5">
        <f t="shared" si="1"/>
        <v>339</v>
      </c>
      <c r="H16" s="6">
        <f t="shared" si="2"/>
        <v>27</v>
      </c>
      <c r="I16" s="6">
        <f t="shared" si="3"/>
        <v>100</v>
      </c>
      <c r="J16" s="6">
        <f t="shared" si="4"/>
        <v>5</v>
      </c>
      <c r="K16" s="7">
        <f t="shared" si="5"/>
        <v>67.8</v>
      </c>
    </row>
    <row r="17" ht="14.25" customHeight="1"/>
    <row r="18" ht="14.25" customHeight="1">
      <c r="C18" s="9" t="s">
        <v>16</v>
      </c>
      <c r="D18" s="9" t="s">
        <v>17</v>
      </c>
      <c r="E18" s="9" t="s">
        <v>18</v>
      </c>
      <c r="F18" s="9" t="s">
        <v>19</v>
      </c>
      <c r="G18" s="9" t="s">
        <v>20</v>
      </c>
      <c r="I18" s="10"/>
    </row>
    <row r="19" ht="14.25" customHeight="1">
      <c r="A19" s="11"/>
      <c r="C19" s="9" t="s">
        <v>21</v>
      </c>
      <c r="D19" s="9" t="s">
        <v>22</v>
      </c>
      <c r="E19" s="9" t="s">
        <v>23</v>
      </c>
      <c r="I19" s="10"/>
    </row>
    <row r="20" ht="14.25" customHeight="1">
      <c r="C20" s="9" t="s">
        <v>24</v>
      </c>
      <c r="D20" s="9" t="s">
        <v>25</v>
      </c>
      <c r="E20" s="9" t="s">
        <v>26</v>
      </c>
      <c r="I20" s="10"/>
    </row>
    <row r="21" ht="14.25" customHeight="1">
      <c r="C21" s="9" t="s">
        <v>27</v>
      </c>
      <c r="D21" s="9" t="s">
        <v>28</v>
      </c>
      <c r="E21" s="9" t="s">
        <v>29</v>
      </c>
      <c r="I21" s="10"/>
    </row>
    <row r="22" ht="14.25" customHeight="1">
      <c r="C22" s="9" t="s">
        <v>30</v>
      </c>
      <c r="D22" s="9" t="s">
        <v>31</v>
      </c>
      <c r="E22" s="9" t="s">
        <v>32</v>
      </c>
      <c r="I22" s="10"/>
    </row>
    <row r="23" ht="14.25" customHeight="1">
      <c r="C23" s="9" t="s">
        <v>33</v>
      </c>
      <c r="D23" s="9" t="s">
        <v>34</v>
      </c>
      <c r="E23" s="9" t="s">
        <v>35</v>
      </c>
      <c r="I23" s="10"/>
    </row>
    <row r="24" ht="14.25" customHeight="1">
      <c r="C24" s="9" t="s">
        <v>36</v>
      </c>
      <c r="D24" s="9" t="s">
        <v>37</v>
      </c>
      <c r="E24" s="9" t="s">
        <v>38</v>
      </c>
      <c r="I24" s="10"/>
    </row>
    <row r="25" ht="14.25" customHeight="1">
      <c r="C25" s="9" t="s">
        <v>39</v>
      </c>
      <c r="D25" s="9" t="s">
        <v>40</v>
      </c>
      <c r="E25" s="9" t="s">
        <v>41</v>
      </c>
      <c r="I25" s="10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1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63"/>
    <col customWidth="1" min="2" max="3" width="14.5"/>
    <col customWidth="1" min="4" max="26" width="8.63"/>
  </cols>
  <sheetData>
    <row r="1" ht="14.25" customHeight="1">
      <c r="A1" s="12" t="s">
        <v>0</v>
      </c>
      <c r="B1" s="12" t="s">
        <v>42</v>
      </c>
      <c r="C1" s="12" t="s">
        <v>43</v>
      </c>
    </row>
    <row r="2" ht="14.25" customHeight="1">
      <c r="A2" s="13" t="s">
        <v>44</v>
      </c>
      <c r="B2" s="13" t="s">
        <v>45</v>
      </c>
      <c r="C2" s="13">
        <v>5818.0</v>
      </c>
    </row>
    <row r="3" ht="14.25" customHeight="1">
      <c r="A3" s="13" t="s">
        <v>46</v>
      </c>
      <c r="B3" s="13" t="s">
        <v>47</v>
      </c>
      <c r="C3" s="13">
        <v>9800.0</v>
      </c>
    </row>
    <row r="4" ht="14.25" customHeight="1">
      <c r="A4" s="13" t="s">
        <v>48</v>
      </c>
      <c r="B4" s="13" t="s">
        <v>49</v>
      </c>
      <c r="C4" s="13">
        <v>1467.0</v>
      </c>
      <c r="H4" s="14"/>
    </row>
    <row r="5" ht="14.25" customHeight="1">
      <c r="A5" s="13" t="s">
        <v>50</v>
      </c>
      <c r="B5" s="13" t="s">
        <v>47</v>
      </c>
      <c r="C5" s="13">
        <v>1859.0</v>
      </c>
    </row>
    <row r="6" ht="14.25" customHeight="1">
      <c r="A6" s="13" t="s">
        <v>51</v>
      </c>
      <c r="B6" s="13" t="s">
        <v>45</v>
      </c>
      <c r="C6" s="13">
        <v>9731.0</v>
      </c>
    </row>
    <row r="7" ht="14.25" customHeight="1">
      <c r="A7" s="13" t="s">
        <v>52</v>
      </c>
      <c r="B7" s="13" t="s">
        <v>53</v>
      </c>
      <c r="C7" s="13">
        <v>8988.0</v>
      </c>
    </row>
    <row r="8" ht="14.25" customHeight="1">
      <c r="A8" s="13" t="s">
        <v>54</v>
      </c>
      <c r="B8" s="13" t="s">
        <v>49</v>
      </c>
      <c r="C8" s="13">
        <v>9391.0</v>
      </c>
    </row>
    <row r="9" ht="14.25" customHeight="1">
      <c r="A9" s="13" t="s">
        <v>55</v>
      </c>
      <c r="B9" s="13" t="s">
        <v>45</v>
      </c>
      <c r="C9" s="13">
        <v>7771.0</v>
      </c>
    </row>
    <row r="10" ht="14.25" customHeight="1">
      <c r="A10" s="13" t="s">
        <v>56</v>
      </c>
      <c r="B10" s="13" t="s">
        <v>47</v>
      </c>
      <c r="C10" s="13">
        <v>5359.0</v>
      </c>
    </row>
    <row r="11" ht="14.25" customHeight="1">
      <c r="A11" s="13" t="s">
        <v>57</v>
      </c>
      <c r="B11" s="13" t="s">
        <v>53</v>
      </c>
      <c r="C11" s="13">
        <v>6537.0</v>
      </c>
    </row>
    <row r="12" ht="14.25" customHeight="1">
      <c r="A12" s="13" t="s">
        <v>58</v>
      </c>
      <c r="B12" s="13" t="s">
        <v>45</v>
      </c>
      <c r="C12" s="13">
        <v>1157.0</v>
      </c>
    </row>
    <row r="13" ht="14.25" customHeight="1">
      <c r="A13" s="13" t="s">
        <v>59</v>
      </c>
      <c r="B13" s="13" t="s">
        <v>45</v>
      </c>
      <c r="C13" s="13">
        <v>1923.0</v>
      </c>
    </row>
    <row r="14" ht="14.25" customHeight="1">
      <c r="A14" s="13" t="s">
        <v>60</v>
      </c>
      <c r="B14" s="13" t="s">
        <v>49</v>
      </c>
      <c r="C14" s="13">
        <v>2078.0</v>
      </c>
    </row>
    <row r="15" ht="14.25" customHeight="1">
      <c r="A15" s="13" t="s">
        <v>61</v>
      </c>
      <c r="B15" s="13" t="s">
        <v>53</v>
      </c>
      <c r="C15" s="13">
        <v>3366.0</v>
      </c>
    </row>
    <row r="16" ht="14.25" customHeight="1">
      <c r="A16" s="13" t="s">
        <v>62</v>
      </c>
      <c r="B16" s="13" t="s">
        <v>53</v>
      </c>
      <c r="C16" s="13">
        <v>4953.0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9.88"/>
    <col customWidth="1" min="3" max="3" width="14.75"/>
    <col customWidth="1" min="4" max="4" width="14.5"/>
    <col customWidth="1" min="5" max="5" width="14.75"/>
    <col customWidth="1" min="6" max="6" width="15.13"/>
    <col customWidth="1" min="7" max="26" width="8.63"/>
  </cols>
  <sheetData>
    <row r="1" ht="14.25" customHeight="1">
      <c r="A1" s="12" t="s">
        <v>0</v>
      </c>
      <c r="C1" s="12" t="s">
        <v>63</v>
      </c>
      <c r="E1" s="12" t="s">
        <v>64</v>
      </c>
    </row>
    <row r="2" ht="14.25" customHeight="1">
      <c r="A2" s="13" t="s">
        <v>65</v>
      </c>
      <c r="C2" s="13" t="s">
        <v>44</v>
      </c>
      <c r="E2" s="13" t="s">
        <v>44</v>
      </c>
    </row>
    <row r="3" ht="14.25" customHeight="1">
      <c r="A3" s="13" t="s">
        <v>66</v>
      </c>
      <c r="C3" s="13" t="s">
        <v>67</v>
      </c>
      <c r="E3" s="13" t="s">
        <v>67</v>
      </c>
    </row>
    <row r="4" ht="14.25" customHeight="1">
      <c r="A4" s="13" t="s">
        <v>68</v>
      </c>
      <c r="C4" s="13" t="s">
        <v>48</v>
      </c>
      <c r="E4" s="13" t="s">
        <v>48</v>
      </c>
    </row>
    <row r="5" ht="14.25" customHeight="1">
      <c r="A5" s="13" t="s">
        <v>69</v>
      </c>
      <c r="C5" s="13" t="s">
        <v>50</v>
      </c>
      <c r="E5" s="13" t="s">
        <v>50</v>
      </c>
    </row>
    <row r="6" ht="14.25" customHeight="1">
      <c r="A6" s="13" t="s">
        <v>70</v>
      </c>
      <c r="C6" s="13" t="s">
        <v>51</v>
      </c>
      <c r="E6" s="13" t="s">
        <v>51</v>
      </c>
    </row>
    <row r="7" ht="14.25" customHeight="1">
      <c r="A7" s="13" t="s">
        <v>71</v>
      </c>
      <c r="C7" s="13" t="s">
        <v>52</v>
      </c>
      <c r="E7" s="13" t="s">
        <v>52</v>
      </c>
    </row>
    <row r="8" ht="14.25" customHeight="1">
      <c r="A8" s="13" t="s">
        <v>72</v>
      </c>
      <c r="C8" s="13" t="s">
        <v>54</v>
      </c>
      <c r="E8" s="13" t="s">
        <v>54</v>
      </c>
    </row>
    <row r="9" ht="14.25" customHeight="1">
      <c r="A9" s="13" t="s">
        <v>73</v>
      </c>
      <c r="C9" s="13" t="s">
        <v>55</v>
      </c>
      <c r="E9" s="13" t="s">
        <v>55</v>
      </c>
    </row>
    <row r="10" ht="14.25" customHeight="1">
      <c r="A10" s="13" t="s">
        <v>74</v>
      </c>
      <c r="C10" s="13" t="s">
        <v>56</v>
      </c>
      <c r="E10" s="13" t="s">
        <v>56</v>
      </c>
    </row>
    <row r="11" ht="14.25" customHeight="1">
      <c r="A11" s="13" t="s">
        <v>75</v>
      </c>
      <c r="C11" s="13" t="s">
        <v>57</v>
      </c>
      <c r="E11" s="13" t="s">
        <v>57</v>
      </c>
    </row>
    <row r="12" ht="14.25" customHeight="1">
      <c r="A12" s="13" t="s">
        <v>76</v>
      </c>
      <c r="C12" s="13" t="s">
        <v>58</v>
      </c>
      <c r="E12" s="13" t="s">
        <v>58</v>
      </c>
    </row>
    <row r="13" ht="14.25" customHeight="1">
      <c r="A13" s="13" t="s">
        <v>77</v>
      </c>
      <c r="C13" s="13" t="s">
        <v>59</v>
      </c>
      <c r="E13" s="13" t="s">
        <v>59</v>
      </c>
    </row>
    <row r="14" ht="14.25" customHeight="1">
      <c r="A14" s="13" t="s">
        <v>78</v>
      </c>
      <c r="C14" s="13" t="s">
        <v>60</v>
      </c>
      <c r="E14" s="13" t="s">
        <v>60</v>
      </c>
    </row>
    <row r="15" ht="14.25" customHeight="1">
      <c r="A15" s="13" t="s">
        <v>79</v>
      </c>
      <c r="C15" s="13" t="s">
        <v>61</v>
      </c>
      <c r="E15" s="13" t="s">
        <v>61</v>
      </c>
    </row>
    <row r="16" ht="14.25" customHeight="1">
      <c r="A16" s="13" t="s">
        <v>80</v>
      </c>
      <c r="C16" s="13" t="s">
        <v>62</v>
      </c>
      <c r="E16" s="13" t="s">
        <v>62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13"/>
    <col customWidth="1" min="2" max="2" width="14.5"/>
    <col customWidth="1" min="3" max="3" width="15.13"/>
    <col customWidth="1" min="4" max="26" width="8.63"/>
  </cols>
  <sheetData>
    <row r="1" ht="14.25" customHeight="1">
      <c r="A1" s="12" t="s">
        <v>0</v>
      </c>
    </row>
    <row r="2" ht="14.25" customHeight="1">
      <c r="A2" s="13" t="s">
        <v>81</v>
      </c>
    </row>
    <row r="3" ht="14.25" customHeight="1">
      <c r="A3" s="13" t="s">
        <v>67</v>
      </c>
    </row>
    <row r="4" ht="14.25" customHeight="1">
      <c r="A4" s="13" t="s">
        <v>82</v>
      </c>
    </row>
    <row r="5" ht="14.25" customHeight="1">
      <c r="A5" s="13" t="s">
        <v>50</v>
      </c>
    </row>
    <row r="6" ht="14.25" customHeight="1">
      <c r="A6" s="13" t="s">
        <v>51</v>
      </c>
    </row>
    <row r="7" ht="14.25" customHeight="1">
      <c r="A7" s="13" t="s">
        <v>83</v>
      </c>
    </row>
    <row r="8" ht="14.25" customHeight="1">
      <c r="A8" s="13" t="s">
        <v>54</v>
      </c>
    </row>
    <row r="9" ht="14.25" customHeight="1">
      <c r="A9" s="13" t="s">
        <v>55</v>
      </c>
    </row>
    <row r="10" ht="14.25" customHeight="1">
      <c r="A10" s="13" t="s">
        <v>84</v>
      </c>
    </row>
    <row r="11" ht="14.25" customHeight="1">
      <c r="A11" s="13" t="s">
        <v>57</v>
      </c>
    </row>
    <row r="12" ht="14.25" customHeight="1">
      <c r="A12" s="13" t="s">
        <v>85</v>
      </c>
    </row>
    <row r="13" ht="14.25" customHeight="1">
      <c r="A13" s="13" t="s">
        <v>59</v>
      </c>
    </row>
    <row r="14" ht="14.25" customHeight="1">
      <c r="A14" s="13" t="s">
        <v>60</v>
      </c>
    </row>
    <row r="15" ht="14.25" customHeight="1">
      <c r="A15" s="13" t="s">
        <v>86</v>
      </c>
    </row>
    <row r="16" ht="14.25" customHeight="1">
      <c r="A16" s="13" t="s">
        <v>62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13"/>
    <col customWidth="1" min="2" max="3" width="14.5"/>
    <col customWidth="1" min="4" max="26" width="8.63"/>
  </cols>
  <sheetData>
    <row r="1" ht="14.25" customHeight="1">
      <c r="A1" s="12" t="s">
        <v>0</v>
      </c>
      <c r="B1" s="12" t="s">
        <v>42</v>
      </c>
      <c r="C1" s="12" t="s">
        <v>43</v>
      </c>
    </row>
    <row r="2" ht="14.25" customHeight="1">
      <c r="A2" s="15" t="s">
        <v>44</v>
      </c>
      <c r="B2" s="15" t="s">
        <v>45</v>
      </c>
      <c r="C2" s="15">
        <v>5818.0</v>
      </c>
    </row>
    <row r="3" ht="14.25" customHeight="1">
      <c r="A3" s="13" t="s">
        <v>67</v>
      </c>
      <c r="B3" s="13" t="s">
        <v>47</v>
      </c>
      <c r="C3" s="13">
        <v>9800.0</v>
      </c>
    </row>
    <row r="4" ht="14.25" customHeight="1">
      <c r="A4" s="13" t="s">
        <v>48</v>
      </c>
      <c r="B4" s="13" t="s">
        <v>49</v>
      </c>
      <c r="C4" s="13">
        <v>1467.0</v>
      </c>
    </row>
    <row r="5" ht="14.25" customHeight="1">
      <c r="A5" s="15" t="s">
        <v>50</v>
      </c>
      <c r="B5" s="15" t="s">
        <v>47</v>
      </c>
      <c r="C5" s="15">
        <v>1859.0</v>
      </c>
    </row>
    <row r="6" ht="14.25" customHeight="1">
      <c r="A6" s="13" t="s">
        <v>51</v>
      </c>
      <c r="B6" s="13" t="s">
        <v>45</v>
      </c>
      <c r="C6" s="13">
        <v>9731.0</v>
      </c>
    </row>
    <row r="7" ht="14.25" customHeight="1">
      <c r="A7" s="13" t="s">
        <v>52</v>
      </c>
      <c r="B7" s="13" t="s">
        <v>53</v>
      </c>
      <c r="C7" s="13">
        <v>8988.0</v>
      </c>
    </row>
    <row r="8" ht="14.25" customHeight="1">
      <c r="A8" s="15" t="s">
        <v>54</v>
      </c>
      <c r="B8" s="15" t="s">
        <v>49</v>
      </c>
      <c r="C8" s="15">
        <v>9391.0</v>
      </c>
    </row>
    <row r="9" ht="14.25" customHeight="1">
      <c r="A9" s="13" t="s">
        <v>55</v>
      </c>
      <c r="B9" s="13" t="s">
        <v>45</v>
      </c>
      <c r="C9" s="13">
        <v>7771.0</v>
      </c>
    </row>
    <row r="10" ht="14.25" customHeight="1">
      <c r="A10" s="13" t="s">
        <v>56</v>
      </c>
      <c r="B10" s="13" t="s">
        <v>47</v>
      </c>
      <c r="C10" s="13">
        <v>5359.0</v>
      </c>
    </row>
    <row r="11" ht="14.25" customHeight="1">
      <c r="A11" s="16" t="s">
        <v>57</v>
      </c>
      <c r="B11" s="16" t="s">
        <v>53</v>
      </c>
      <c r="C11" s="16">
        <v>6537.0</v>
      </c>
    </row>
    <row r="12" ht="14.25" customHeight="1">
      <c r="A12" s="13" t="s">
        <v>58</v>
      </c>
      <c r="B12" s="13" t="s">
        <v>45</v>
      </c>
      <c r="C12" s="13">
        <v>1157.0</v>
      </c>
    </row>
    <row r="13" ht="14.25" customHeight="1">
      <c r="A13" s="13" t="s">
        <v>59</v>
      </c>
      <c r="B13" s="13" t="s">
        <v>45</v>
      </c>
      <c r="C13" s="13">
        <v>1923.0</v>
      </c>
    </row>
    <row r="14" ht="14.25" customHeight="1">
      <c r="A14" s="16" t="s">
        <v>60</v>
      </c>
      <c r="B14" s="16" t="s">
        <v>49</v>
      </c>
      <c r="C14" s="16">
        <v>2078.0</v>
      </c>
    </row>
    <row r="15" ht="14.25" customHeight="1">
      <c r="A15" s="13" t="s">
        <v>61</v>
      </c>
      <c r="B15" s="13" t="s">
        <v>53</v>
      </c>
      <c r="C15" s="13">
        <v>3366.0</v>
      </c>
    </row>
    <row r="16" ht="14.25" customHeight="1">
      <c r="A16" s="13" t="s">
        <v>62</v>
      </c>
      <c r="B16" s="13" t="s">
        <v>53</v>
      </c>
      <c r="C16" s="13">
        <v>4953.0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25"/>
    <col customWidth="1" min="2" max="2" width="17.25"/>
    <col customWidth="1" min="3" max="4" width="14.5"/>
    <col customWidth="1" min="5" max="26" width="8.63"/>
  </cols>
  <sheetData>
    <row r="1" ht="14.25" customHeight="1">
      <c r="A1" s="12" t="s">
        <v>87</v>
      </c>
      <c r="B1" s="12" t="s">
        <v>0</v>
      </c>
      <c r="C1" s="12" t="s">
        <v>42</v>
      </c>
      <c r="D1" s="12" t="s">
        <v>43</v>
      </c>
    </row>
    <row r="2" ht="14.25" customHeight="1">
      <c r="A2" s="17" t="s">
        <v>88</v>
      </c>
      <c r="B2" s="13" t="s">
        <v>44</v>
      </c>
      <c r="C2" s="13" t="s">
        <v>45</v>
      </c>
      <c r="D2" s="13">
        <v>5818.0</v>
      </c>
    </row>
    <row r="3" ht="14.25" customHeight="1">
      <c r="A3" s="17" t="s">
        <v>89</v>
      </c>
      <c r="B3" s="13" t="s">
        <v>67</v>
      </c>
      <c r="C3" s="13" t="s">
        <v>47</v>
      </c>
      <c r="D3" s="13">
        <v>9800.0</v>
      </c>
    </row>
    <row r="4" ht="14.25" customHeight="1">
      <c r="A4" s="17" t="s">
        <v>90</v>
      </c>
      <c r="B4" s="13" t="s">
        <v>48</v>
      </c>
      <c r="C4" s="13" t="s">
        <v>49</v>
      </c>
      <c r="D4" s="13">
        <v>1467.0</v>
      </c>
      <c r="F4" s="10"/>
    </row>
    <row r="5" ht="14.25" customHeight="1">
      <c r="A5" s="17" t="s">
        <v>91</v>
      </c>
      <c r="B5" s="13" t="s">
        <v>50</v>
      </c>
      <c r="C5" s="13" t="s">
        <v>47</v>
      </c>
      <c r="D5" s="13">
        <v>1859.0</v>
      </c>
    </row>
    <row r="6" ht="14.25" customHeight="1">
      <c r="A6" s="17" t="s">
        <v>92</v>
      </c>
      <c r="B6" s="13" t="s">
        <v>51</v>
      </c>
      <c r="C6" s="13" t="s">
        <v>45</v>
      </c>
      <c r="D6" s="13">
        <v>9731.0</v>
      </c>
    </row>
    <row r="7" ht="14.25" customHeight="1">
      <c r="A7" s="17" t="s">
        <v>93</v>
      </c>
      <c r="B7" s="13" t="s">
        <v>52</v>
      </c>
      <c r="C7" s="13" t="s">
        <v>53</v>
      </c>
      <c r="D7" s="13">
        <v>8988.0</v>
      </c>
    </row>
    <row r="8" ht="14.25" customHeight="1">
      <c r="A8" s="17" t="s">
        <v>94</v>
      </c>
      <c r="B8" s="13" t="s">
        <v>54</v>
      </c>
      <c r="C8" s="13" t="s">
        <v>49</v>
      </c>
      <c r="D8" s="13">
        <v>9391.0</v>
      </c>
    </row>
    <row r="9" ht="14.25" customHeight="1">
      <c r="A9" s="17" t="s">
        <v>95</v>
      </c>
      <c r="B9" s="13" t="s">
        <v>55</v>
      </c>
      <c r="C9" s="13" t="s">
        <v>45</v>
      </c>
      <c r="D9" s="13">
        <v>7771.0</v>
      </c>
    </row>
    <row r="10" ht="14.25" customHeight="1">
      <c r="A10" s="17" t="s">
        <v>96</v>
      </c>
      <c r="B10" s="13" t="s">
        <v>56</v>
      </c>
      <c r="C10" s="13" t="s">
        <v>47</v>
      </c>
      <c r="D10" s="13">
        <v>5359.0</v>
      </c>
    </row>
    <row r="11" ht="14.25" customHeight="1">
      <c r="A11" s="17" t="s">
        <v>97</v>
      </c>
      <c r="B11" s="13" t="s">
        <v>57</v>
      </c>
      <c r="C11" s="13" t="s">
        <v>53</v>
      </c>
      <c r="D11" s="13">
        <v>6537.0</v>
      </c>
    </row>
    <row r="12" ht="14.25" customHeight="1">
      <c r="A12" s="17" t="s">
        <v>98</v>
      </c>
      <c r="B12" s="13" t="s">
        <v>58</v>
      </c>
      <c r="C12" s="13" t="s">
        <v>45</v>
      </c>
      <c r="D12" s="13">
        <v>1157.0</v>
      </c>
    </row>
    <row r="13" ht="14.25" customHeight="1">
      <c r="A13" s="17" t="s">
        <v>99</v>
      </c>
      <c r="B13" s="13" t="s">
        <v>59</v>
      </c>
      <c r="C13" s="13" t="s">
        <v>45</v>
      </c>
      <c r="D13" s="13">
        <v>1923.0</v>
      </c>
    </row>
    <row r="14" ht="14.25" customHeight="1">
      <c r="A14" s="17" t="s">
        <v>100</v>
      </c>
      <c r="B14" s="13" t="s">
        <v>60</v>
      </c>
      <c r="C14" s="13" t="s">
        <v>49</v>
      </c>
      <c r="D14" s="13">
        <v>2078.0</v>
      </c>
    </row>
    <row r="15" ht="14.25" customHeight="1">
      <c r="A15" s="17" t="s">
        <v>101</v>
      </c>
      <c r="B15" s="13" t="s">
        <v>61</v>
      </c>
      <c r="C15" s="13" t="s">
        <v>53</v>
      </c>
      <c r="D15" s="13">
        <v>3366.0</v>
      </c>
    </row>
    <row r="16" ht="14.25" customHeight="1">
      <c r="A16" s="17" t="s">
        <v>102</v>
      </c>
      <c r="B16" s="13" t="s">
        <v>62</v>
      </c>
      <c r="C16" s="13" t="s">
        <v>53</v>
      </c>
      <c r="D16" s="13">
        <v>4953.0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75"/>
    <col customWidth="1" min="2" max="26" width="8.63"/>
  </cols>
  <sheetData>
    <row r="1" ht="14.25" customHeight="1">
      <c r="A1" s="12" t="s">
        <v>0</v>
      </c>
    </row>
    <row r="2" ht="14.25" customHeight="1">
      <c r="A2" s="18" t="s">
        <v>103</v>
      </c>
    </row>
    <row r="3" ht="14.25" customHeight="1">
      <c r="A3" s="18" t="s">
        <v>104</v>
      </c>
    </row>
    <row r="4" ht="14.25" customHeight="1">
      <c r="A4" s="18" t="s">
        <v>105</v>
      </c>
    </row>
    <row r="5" ht="14.25" customHeight="1">
      <c r="A5" s="18" t="s">
        <v>106</v>
      </c>
    </row>
    <row r="6" ht="14.25" customHeight="1">
      <c r="A6" s="18" t="s">
        <v>107</v>
      </c>
    </row>
    <row r="7" ht="14.25" customHeight="1">
      <c r="A7" s="18" t="s">
        <v>108</v>
      </c>
    </row>
    <row r="8" ht="14.25" customHeight="1">
      <c r="A8" s="18" t="s">
        <v>109</v>
      </c>
    </row>
    <row r="9" ht="14.25" customHeight="1">
      <c r="A9" s="18" t="s">
        <v>110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2024-05-20T13:24:27Z</dcterms:created>
  <dc:creator>Sumit Bansal</dc:creator>
</cp:coreProperties>
</file>