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636BB2B-844A-4D13-A2B7-8ECD594209DF}" xr6:coauthVersionLast="47" xr6:coauthVersionMax="47" xr10:uidLastSave="{00000000-0000-0000-0000-000000000000}"/>
  <bookViews>
    <workbookView xWindow="-120" yWindow="-120" windowWidth="21840" windowHeight="13140" xr2:uid="{22E66846-7088-43E7-95AB-46E83CE3D85C}"/>
  </bookViews>
  <sheets>
    <sheet name="Sheet1" sheetId="1" r:id="rId1"/>
    <sheet name="Sheet2" sheetId="2" r:id="rId2"/>
    <sheet name="Sheet3" sheetId="3" r:id="rId3"/>
  </sheets>
  <definedNames>
    <definedName name="box">Sheet1!$L$8:$P$13</definedName>
    <definedName name="iam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2" l="1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A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M3" i="2"/>
  <c r="N3" i="2"/>
  <c r="O3" i="2"/>
  <c r="M4" i="2"/>
  <c r="N4" i="2"/>
  <c r="O4" i="2"/>
  <c r="M5" i="2"/>
  <c r="N5" i="2"/>
  <c r="O5" i="2"/>
  <c r="M6" i="2"/>
  <c r="N6" i="2"/>
  <c r="O6" i="2"/>
  <c r="M7" i="2"/>
  <c r="N7" i="2"/>
  <c r="O7" i="2"/>
  <c r="M8" i="2"/>
  <c r="N8" i="2" s="1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29" i="3"/>
  <c r="O29" i="3" s="1"/>
  <c r="O28" i="3"/>
  <c r="M28" i="3"/>
  <c r="N28" i="3" s="1"/>
  <c r="O27" i="3"/>
  <c r="N27" i="3"/>
  <c r="M27" i="3"/>
  <c r="M26" i="3"/>
  <c r="O26" i="3" s="1"/>
  <c r="M25" i="3"/>
  <c r="O25" i="3" s="1"/>
  <c r="O24" i="3"/>
  <c r="M24" i="3"/>
  <c r="N24" i="3" s="1"/>
  <c r="O23" i="3"/>
  <c r="N23" i="3"/>
  <c r="M23" i="3"/>
  <c r="M22" i="3"/>
  <c r="O22" i="3" s="1"/>
  <c r="M21" i="3"/>
  <c r="O21" i="3" s="1"/>
  <c r="O20" i="3"/>
  <c r="M20" i="3"/>
  <c r="N20" i="3" s="1"/>
  <c r="O19" i="3"/>
  <c r="N19" i="3"/>
  <c r="M19" i="3"/>
  <c r="M18" i="3"/>
  <c r="N18" i="3" s="1"/>
  <c r="O13" i="3"/>
  <c r="N13" i="3"/>
  <c r="M13" i="3"/>
  <c r="N12" i="3"/>
  <c r="M12" i="3"/>
  <c r="O12" i="3" s="1"/>
  <c r="O11" i="3"/>
  <c r="M11" i="3"/>
  <c r="N11" i="3" s="1"/>
  <c r="O10" i="3"/>
  <c r="N10" i="3"/>
  <c r="M10" i="3"/>
  <c r="M9" i="3"/>
  <c r="O9" i="3" s="1"/>
  <c r="M8" i="3"/>
  <c r="O8" i="3" s="1"/>
  <c r="O7" i="3"/>
  <c r="M7" i="3"/>
  <c r="N7" i="3" s="1"/>
  <c r="O6" i="3"/>
  <c r="N6" i="3"/>
  <c r="M6" i="3"/>
  <c r="M5" i="3"/>
  <c r="O5" i="3" s="1"/>
  <c r="M4" i="3"/>
  <c r="O4" i="3" s="1"/>
  <c r="O3" i="3"/>
  <c r="M3" i="3"/>
  <c r="N3" i="3" s="1"/>
  <c r="O2" i="3"/>
  <c r="N2" i="3"/>
  <c r="M2" i="3"/>
  <c r="XFB13" i="1"/>
  <c r="O8" i="2" l="1"/>
  <c r="N22" i="3"/>
  <c r="N26" i="3"/>
  <c r="O18" i="3"/>
  <c r="N21" i="3"/>
  <c r="N25" i="3"/>
  <c r="N29" i="3"/>
  <c r="N5" i="3"/>
  <c r="N9" i="3"/>
  <c r="N4" i="3"/>
  <c r="N8" i="3"/>
</calcChain>
</file>

<file path=xl/sharedStrings.xml><?xml version="1.0" encoding="utf-8"?>
<sst xmlns="http://schemas.openxmlformats.org/spreadsheetml/2006/main" count="142" uniqueCount="66">
  <si>
    <t>Title Bar</t>
  </si>
  <si>
    <t>Menu Bar</t>
  </si>
  <si>
    <t>Ribbon Bar</t>
  </si>
  <si>
    <t>Name Box</t>
  </si>
  <si>
    <t>Formula Bar</t>
  </si>
  <si>
    <t>Column</t>
  </si>
  <si>
    <t>Row</t>
  </si>
  <si>
    <t>Cell</t>
  </si>
  <si>
    <t>Sheet Navigation Area</t>
  </si>
  <si>
    <t>H. Scroll Bar</t>
  </si>
  <si>
    <t>Status Bar</t>
  </si>
  <si>
    <t>Alt Q</t>
  </si>
  <si>
    <t>Search</t>
  </si>
  <si>
    <t>Alt</t>
  </si>
  <si>
    <t>Navigational Shortcut</t>
  </si>
  <si>
    <t>Esc</t>
  </si>
  <si>
    <t>Column Select</t>
  </si>
  <si>
    <t>Row Select</t>
  </si>
  <si>
    <t>Control + Space</t>
  </si>
  <si>
    <t>Shift + Space</t>
  </si>
  <si>
    <t>Shift+ F11</t>
  </si>
  <si>
    <t>Insert Sheet</t>
  </si>
  <si>
    <t>Control + Pg UP</t>
  </si>
  <si>
    <t>Control + Pg Down</t>
  </si>
  <si>
    <t>Sheet UP Selection</t>
  </si>
  <si>
    <t>Sheet Down Selection</t>
  </si>
  <si>
    <t>Control + Home</t>
  </si>
  <si>
    <t>First Cell</t>
  </si>
  <si>
    <t>Control + End</t>
  </si>
  <si>
    <t>Last Edit Cell Range</t>
  </si>
  <si>
    <t>Name</t>
  </si>
  <si>
    <t>Sub 1</t>
  </si>
  <si>
    <t>Sub 2</t>
  </si>
  <si>
    <t>Sub 3</t>
  </si>
  <si>
    <t>Sub 4</t>
  </si>
  <si>
    <t>Sub 5</t>
  </si>
  <si>
    <t>Sub 6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</si>
  <si>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</si>
  <si>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</si>
  <si>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</si>
  <si>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</si>
  <si>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</si>
  <si>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</si>
  <si>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</si>
  <si>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</si>
  <si>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</si>
  <si>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</si>
  <si>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Total</t>
  </si>
  <si>
    <t>No of Sheet</t>
  </si>
  <si>
    <t>Control +</t>
  </si>
  <si>
    <t>Control -</t>
  </si>
  <si>
    <t>Insert</t>
  </si>
  <si>
    <t>Delete</t>
  </si>
  <si>
    <t>Name 11</t>
  </si>
  <si>
    <t>Name 12</t>
  </si>
  <si>
    <t>Alt + =</t>
  </si>
  <si>
    <t>Sum</t>
  </si>
  <si>
    <t>Marksheet</t>
  </si>
  <si>
    <t>Central Across Selection</t>
  </si>
  <si>
    <t>Contact</t>
  </si>
  <si>
    <t>Age</t>
  </si>
  <si>
    <t>Fee</t>
  </si>
  <si>
    <t>Percentage</t>
  </si>
  <si>
    <t>DOJ</t>
  </si>
  <si>
    <t>IN Time</t>
  </si>
  <si>
    <t>kjasndjkf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</si>
</sst>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_ [$₹-4009]\ * #,##0.00_ ;_ [$₹-4009]\ * \-#,##0.00_ ;_ [$₹-4009]\ * &quot;-&quot;??_ ;_ @_ "/>
    <numFmt numFmtId="181" formatCode="[$-10409]hh:mm\ AM/PM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0" fillId="0" borderId="14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/>
    <xf numFmtId="0" fontId="3" fillId="2" borderId="15" xfId="0" applyFont="1" applyFill="1" applyBorder="1" applyAlignment="1">
      <alignment horizontal="centerContinuous"/>
    </xf>
    <xf numFmtId="0" fontId="0" fillId="0" borderId="15" xfId="0" applyNumberFormat="1" applyBorder="1"/>
    <xf numFmtId="0" fontId="0" fillId="0" borderId="16" xfId="0" applyFill="1" applyBorder="1"/>
    <xf numFmtId="2" fontId="0" fillId="0" borderId="15" xfId="0" applyNumberFormat="1" applyBorder="1"/>
    <xf numFmtId="2" fontId="0" fillId="0" borderId="0" xfId="0" applyNumberFormat="1"/>
    <xf numFmtId="174" fontId="0" fillId="0" borderId="15" xfId="0" applyNumberFormat="1" applyBorder="1"/>
    <xf numFmtId="14" fontId="0" fillId="0" borderId="15" xfId="0" applyNumberFormat="1" applyBorder="1"/>
    <xf numFmtId="14" fontId="3" fillId="2" borderId="15" xfId="0" applyNumberFormat="1" applyFont="1" applyFill="1" applyBorder="1" applyAlignment="1">
      <alignment horizontal="centerContinuous"/>
    </xf>
    <xf numFmtId="14" fontId="0" fillId="0" borderId="0" xfId="0" applyNumberFormat="1"/>
    <xf numFmtId="181" fontId="0" fillId="0" borderId="15" xfId="0" applyNumberFormat="1" applyBorder="1"/>
    <xf numFmtId="9" fontId="0" fillId="0" borderId="0" xfId="1" applyFont="1"/>
    <xf numFmtId="0" fontId="0" fillId="2" borderId="15" xfId="0" applyFill="1" applyBorder="1"/>
    <xf numFmtId="14" fontId="0" fillId="2" borderId="15" xfId="0" applyNumberFormat="1" applyFill="1" applyBorder="1"/>
    <xf numFmtId="0" fontId="0" fillId="2" borderId="16" xfId="0" applyFill="1" applyBorder="1"/>
    <xf numFmtId="0" fontId="0" fillId="2" borderId="0" xfId="0" applyFill="1"/>
    <xf numFmtId="10" fontId="0" fillId="0" borderId="0" xfId="1" applyNumberFormat="1" applyFont="1"/>
    <xf numFmtId="0" fontId="4" fillId="0" borderId="15" xfId="0" applyFont="1" applyBorder="1"/>
    <xf numFmtId="14" fontId="4" fillId="0" borderId="17" xfId="0" applyNumberFormat="1" applyFont="1" applyBorder="1"/>
    <xf numFmtId="0" fontId="4" fillId="0" borderId="18" xfId="0" applyFont="1" applyBorder="1"/>
    <xf numFmtId="14" fontId="4" fillId="0" borderId="19" xfId="0" applyNumberFormat="1" applyFont="1" applyBorder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329762</xdr:colOff>
      <xdr:row>61</xdr:row>
      <xdr:rowOff>104776</xdr:rowOff>
    </xdr:from>
    <xdr:to>
      <xdr:col>19</xdr:col>
      <xdr:colOff>390525</xdr:colOff>
      <xdr:row>68</xdr:row>
      <xdr:rowOff>142876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1E91A2-D946-64C8-F31D-E77CAB493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9687" y="11801476"/>
          <a:ext cx="557573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447675</xdr:colOff>
          <xdr:row>60</xdr:row>
          <xdr:rowOff>47626</xdr:rowOff>
        </xdr:from>
        <xdr:to>
          <xdr:col>20</xdr:col>
          <xdr:colOff>351946</xdr:colOff>
          <xdr:row>77</xdr:row>
          <xdr:rowOff>19050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BC3980C-5F31-3CA5-7E56-E48A44B01D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O$14" spid="_x0000_s309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47675" y="11553826"/>
              <a:ext cx="13048771" cy="32099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5</xdr:col>
          <xdr:colOff>9525</xdr:colOff>
          <xdr:row>131</xdr:row>
          <xdr:rowOff>9525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E159CE26-6BF6-D6E6-3E26-3E71518E355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E$14" spid="_x0000_s309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0" y="22555200"/>
              <a:ext cx="3467100" cy="2486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E285-9061-48D5-81A7-6FD9F4BD5FB2}">
  <dimension ref="A1:XFB26"/>
  <sheetViews>
    <sheetView tabSelected="1" zoomScaleNormal="100" workbookViewId="0">
      <selection activeCell="F21" sqref="F21"/>
    </sheetView>
  </sheetViews>
  <sheetFormatPr defaultRowHeight="15" x14ac:dyDescent="0.25"/>
  <cols>
    <col min="10" max="10" width="10.85546875" bestFit="1" customWidth="1"/>
    <col min="13" max="13" width="17" bestFit="1" customWidth="1"/>
    <col min="14" max="14" width="19.85546875" bestFit="1" customWidth="1"/>
    <col min="18" max="18" width="20.28515625" bestFit="1" customWidth="1"/>
  </cols>
  <sheetData>
    <row r="1" spans="1:18 16382:16382" ht="15.75" thickBot="1" x14ac:dyDescent="0.3">
      <c r="A1" s="19" t="s">
        <v>0</v>
      </c>
      <c r="B1" s="20"/>
      <c r="C1" s="20"/>
      <c r="D1" s="20"/>
      <c r="E1" s="20"/>
      <c r="F1" s="20"/>
      <c r="G1" s="20"/>
      <c r="H1" s="21"/>
      <c r="J1" t="s">
        <v>48</v>
      </c>
      <c r="K1">
        <v>255</v>
      </c>
      <c r="M1" t="s">
        <v>11</v>
      </c>
      <c r="N1" t="s">
        <v>12</v>
      </c>
      <c r="Q1" t="s">
        <v>13</v>
      </c>
      <c r="R1" t="s">
        <v>14</v>
      </c>
    </row>
    <row r="2" spans="1:18 16382:16382" ht="15.75" thickBot="1" x14ac:dyDescent="0.3">
      <c r="A2" s="10" t="s">
        <v>1</v>
      </c>
      <c r="B2" s="11"/>
      <c r="C2" s="11"/>
      <c r="D2" s="11"/>
      <c r="E2" s="11"/>
      <c r="F2" s="11"/>
      <c r="G2" s="11"/>
      <c r="H2" s="12"/>
      <c r="M2" t="s">
        <v>16</v>
      </c>
      <c r="N2" t="s">
        <v>18</v>
      </c>
      <c r="Q2" t="s">
        <v>15</v>
      </c>
    </row>
    <row r="3" spans="1:18 16382:16382" x14ac:dyDescent="0.25">
      <c r="A3" s="7" t="s">
        <v>2</v>
      </c>
      <c r="B3" s="8"/>
      <c r="C3" s="8"/>
      <c r="D3" s="8"/>
      <c r="E3" s="8"/>
      <c r="F3" s="8"/>
      <c r="G3" s="8"/>
      <c r="H3" s="9"/>
      <c r="M3" t="s">
        <v>17</v>
      </c>
      <c r="N3" t="s">
        <v>19</v>
      </c>
    </row>
    <row r="4" spans="1:18 16382:16382" ht="15.75" thickBot="1" x14ac:dyDescent="0.3">
      <c r="A4" s="22"/>
      <c r="B4" s="23"/>
      <c r="C4" s="23"/>
      <c r="D4" s="23"/>
      <c r="E4" s="23"/>
      <c r="F4" s="23"/>
      <c r="G4" s="23"/>
      <c r="H4" s="24"/>
      <c r="M4" t="s">
        <v>21</v>
      </c>
      <c r="N4" t="s">
        <v>20</v>
      </c>
    </row>
    <row r="5" spans="1:18 16382:16382" ht="15.75" thickBot="1" x14ac:dyDescent="0.3">
      <c r="A5" s="19" t="s">
        <v>3</v>
      </c>
      <c r="B5" s="21"/>
      <c r="C5" s="19" t="s">
        <v>4</v>
      </c>
      <c r="D5" s="20"/>
      <c r="E5" s="20"/>
      <c r="F5" s="20"/>
      <c r="G5" s="20"/>
      <c r="H5" s="21"/>
      <c r="M5" t="s">
        <v>22</v>
      </c>
      <c r="N5" t="s">
        <v>24</v>
      </c>
    </row>
    <row r="6" spans="1:18 16382:16382" x14ac:dyDescent="0.25">
      <c r="A6" s="1"/>
      <c r="B6" s="2"/>
      <c r="C6" s="2"/>
      <c r="D6" s="13" t="s">
        <v>5</v>
      </c>
      <c r="E6" s="2">
        <v>16384</v>
      </c>
      <c r="F6" s="2"/>
      <c r="G6" s="2"/>
      <c r="H6" s="3"/>
      <c r="M6" t="s">
        <v>23</v>
      </c>
      <c r="N6" t="s">
        <v>25</v>
      </c>
    </row>
    <row r="7" spans="1:18 16382:16382" x14ac:dyDescent="0.25">
      <c r="A7" s="1"/>
      <c r="B7" s="2"/>
      <c r="C7" s="2"/>
      <c r="D7" s="13"/>
      <c r="E7" s="2"/>
      <c r="F7" s="2"/>
      <c r="G7" s="2"/>
      <c r="H7" s="3"/>
    </row>
    <row r="8" spans="1:18 16382:16382" ht="15.75" thickBot="1" x14ac:dyDescent="0.3">
      <c r="A8" s="1"/>
      <c r="B8" s="2"/>
      <c r="C8" s="2"/>
      <c r="D8" s="13"/>
      <c r="E8" s="2"/>
      <c r="F8" s="2"/>
      <c r="G8" s="2"/>
      <c r="H8" s="3"/>
      <c r="M8" t="s">
        <v>26</v>
      </c>
      <c r="N8" t="s">
        <v>27</v>
      </c>
    </row>
    <row r="9" spans="1:18 16382:16382" ht="15.75" thickBot="1" x14ac:dyDescent="0.3">
      <c r="A9" s="15" t="s">
        <v>6</v>
      </c>
      <c r="B9" s="16">
        <v>1048576</v>
      </c>
      <c r="C9" s="16"/>
      <c r="D9" s="17" t="s">
        <v>7</v>
      </c>
      <c r="E9" s="16"/>
      <c r="F9" s="16"/>
      <c r="G9" s="16"/>
      <c r="H9" s="18"/>
      <c r="M9" t="s">
        <v>28</v>
      </c>
      <c r="N9" t="s">
        <v>29</v>
      </c>
    </row>
    <row r="10" spans="1:18 16382:16382" x14ac:dyDescent="0.25">
      <c r="A10" s="1"/>
      <c r="B10" s="2"/>
      <c r="C10" s="2"/>
      <c r="D10" s="13"/>
      <c r="E10" s="2"/>
      <c r="F10" s="2"/>
      <c r="G10" s="2"/>
      <c r="H10" s="3"/>
    </row>
    <row r="11" spans="1:18 16382:16382" x14ac:dyDescent="0.25">
      <c r="A11" s="1"/>
      <c r="B11" s="2"/>
      <c r="C11" s="2"/>
      <c r="D11" s="13"/>
      <c r="E11" s="2"/>
      <c r="F11" s="2"/>
      <c r="G11" s="2"/>
      <c r="H11" s="3"/>
    </row>
    <row r="12" spans="1:18 16382:16382" ht="15.75" thickBot="1" x14ac:dyDescent="0.3">
      <c r="A12" s="4"/>
      <c r="B12" s="5"/>
      <c r="C12" s="5"/>
      <c r="D12" s="14"/>
      <c r="E12" s="5"/>
      <c r="F12" s="5"/>
      <c r="G12" s="5"/>
      <c r="H12" s="6"/>
    </row>
    <row r="13" spans="1:18 16382:16382" ht="15.75" thickBot="1" x14ac:dyDescent="0.3">
      <c r="A13" s="19" t="s">
        <v>8</v>
      </c>
      <c r="B13" s="20"/>
      <c r="C13" s="20"/>
      <c r="D13" s="21"/>
      <c r="E13" s="19" t="s">
        <v>9</v>
      </c>
      <c r="F13" s="20"/>
      <c r="G13" s="20"/>
      <c r="H13" s="21"/>
      <c r="XFB13">
        <f>COLUMN(XFB12)</f>
        <v>16382</v>
      </c>
    </row>
    <row r="14" spans="1:18 16382:16382" ht="15.75" thickBot="1" x14ac:dyDescent="0.3">
      <c r="A14" s="19" t="s">
        <v>10</v>
      </c>
      <c r="B14" s="20"/>
      <c r="C14" s="20"/>
      <c r="D14" s="20"/>
      <c r="E14" s="20"/>
      <c r="F14" s="20"/>
      <c r="G14" s="20"/>
      <c r="H14" s="21"/>
    </row>
    <row r="26" spans="3:3" x14ac:dyDescent="0.25">
      <c r="C26">
        <v>50</v>
      </c>
    </row>
  </sheetData>
  <mergeCells count="8">
    <mergeCell ref="A14:H14"/>
    <mergeCell ref="A1:H1"/>
    <mergeCell ref="A2:H2"/>
    <mergeCell ref="A3:H4"/>
    <mergeCell ref="A5:B5"/>
    <mergeCell ref="C5:H5"/>
    <mergeCell ref="A13:D13"/>
    <mergeCell ref="E13:H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AB73-7386-40A1-BC7D-B6CA8F50FE9F}">
  <dimension ref="A1:R101"/>
  <sheetViews>
    <sheetView workbookViewId="0">
      <selection activeCell="B109" sqref="B109"/>
    </sheetView>
  </sheetViews>
  <sheetFormatPr defaultRowHeight="15" x14ac:dyDescent="0.25"/>
  <cols>
    <col min="2" max="2" width="12.7109375" bestFit="1" customWidth="1"/>
    <col min="4" max="4" width="10.42578125" style="34" bestFit="1" customWidth="1"/>
    <col min="5" max="5" width="10.42578125" style="34" customWidth="1"/>
    <col min="6" max="6" width="16.85546875" customWidth="1"/>
    <col min="14" max="14" width="9.5703125" bestFit="1" customWidth="1"/>
  </cols>
  <sheetData>
    <row r="1" spans="1:18" ht="21" x14ac:dyDescent="0.35">
      <c r="A1" s="26" t="s">
        <v>57</v>
      </c>
      <c r="B1" s="26"/>
      <c r="C1" s="26"/>
      <c r="D1" s="33"/>
      <c r="E1" s="33"/>
      <c r="F1" s="26"/>
      <c r="G1" s="26"/>
      <c r="H1" s="26"/>
      <c r="I1" s="26"/>
      <c r="J1" s="26"/>
      <c r="K1" s="26"/>
      <c r="L1" s="26"/>
      <c r="M1" s="26"/>
    </row>
    <row r="2" spans="1:18" x14ac:dyDescent="0.25">
      <c r="A2" s="37">
        <v>50</v>
      </c>
      <c r="B2" s="37" t="s">
        <v>59</v>
      </c>
      <c r="C2" s="37" t="s">
        <v>65</v>
      </c>
      <c r="D2" s="38" t="s">
        <v>63</v>
      </c>
      <c r="E2" s="38" t="s">
        <v>64</v>
      </c>
      <c r="F2" s="37" t="s">
        <v>61</v>
      </c>
      <c r="G2" s="37" t="s">
        <v>31</v>
      </c>
      <c r="H2" s="37" t="s">
        <v>32</v>
      </c>
      <c r="I2" s="37" t="s">
        <v>33</v>
      </c>
      <c r="J2" s="37" t="s">
        <v>34</v>
      </c>
      <c r="K2" s="37" t="s">
        <v>35</v>
      </c>
      <c r="L2" s="37" t="s">
        <v>36</v>
      </c>
      <c r="M2" s="37" t="s">
        <v>47</v>
      </c>
      <c r="N2" s="39" t="s">
        <v>62</v>
      </c>
      <c r="O2" s="40"/>
      <c r="Q2" t="s">
        <v>49</v>
      </c>
      <c r="R2" t="s">
        <v>51</v>
      </c>
    </row>
    <row r="3" spans="1:18" x14ac:dyDescent="0.25">
      <c r="A3" s="25" t="s">
        <v>37</v>
      </c>
      <c r="B3" s="27">
        <v>9876543210</v>
      </c>
      <c r="C3" s="25">
        <v>50</v>
      </c>
      <c r="D3" s="32">
        <v>45748</v>
      </c>
      <c r="E3" s="35">
        <v>0.55555555555555558</v>
      </c>
      <c r="F3" s="31">
        <v>5000</v>
      </c>
      <c r="G3" s="29">
        <v>98</v>
      </c>
      <c r="H3" s="29">
        <v>5</v>
      </c>
      <c r="I3" s="29">
        <v>38</v>
      </c>
      <c r="J3" s="29">
        <v>24</v>
      </c>
      <c r="K3" s="29">
        <v>99</v>
      </c>
      <c r="L3" s="29">
        <v>79</v>
      </c>
      <c r="M3" s="29">
        <f>SUM(G3:L3)</f>
        <v>343</v>
      </c>
      <c r="N3" s="30">
        <f>M3/600*100</f>
        <v>57.166666666666664</v>
      </c>
      <c r="O3" s="36">
        <f>M3/600</f>
        <v>0.57166666666666666</v>
      </c>
      <c r="Q3" t="s">
        <v>50</v>
      </c>
      <c r="R3" t="s">
        <v>52</v>
      </c>
    </row>
    <row r="4" spans="1:18" x14ac:dyDescent="0.25">
      <c r="A4" s="25" t="s">
        <v>38</v>
      </c>
      <c r="B4" s="27">
        <v>9876543210</v>
      </c>
      <c r="C4" s="25">
        <v>60</v>
      </c>
      <c r="D4" s="32">
        <v>45749</v>
      </c>
      <c r="E4" s="35"/>
      <c r="F4" s="31">
        <v>6000</v>
      </c>
      <c r="G4" s="29">
        <v>23</v>
      </c>
      <c r="H4" s="29">
        <v>65</v>
      </c>
      <c r="I4" s="29">
        <v>89</v>
      </c>
      <c r="J4" s="29">
        <v>66</v>
      </c>
      <c r="K4" s="29">
        <v>37</v>
      </c>
      <c r="L4" s="29">
        <v>40</v>
      </c>
      <c r="M4" s="29">
        <f>SUM(G4:L4)</f>
        <v>320</v>
      </c>
      <c r="N4" s="30">
        <f t="shared" ref="N4:N14" si="0">M4/600*100</f>
        <v>53.333333333333336</v>
      </c>
      <c r="O4" s="36">
        <f t="shared" ref="O4:O14" si="1">M4/600</f>
        <v>0.53333333333333333</v>
      </c>
      <c r="Q4" t="s">
        <v>55</v>
      </c>
      <c r="R4" t="s">
        <v>56</v>
      </c>
    </row>
    <row r="5" spans="1:18" x14ac:dyDescent="0.25">
      <c r="A5" s="25" t="s">
        <v>39</v>
      </c>
      <c r="B5" s="27">
        <v>9876543210</v>
      </c>
      <c r="C5" s="25">
        <v>70</v>
      </c>
      <c r="D5" s="32">
        <v>45750</v>
      </c>
      <c r="E5" s="35"/>
      <c r="F5" s="31">
        <v>10000</v>
      </c>
      <c r="G5" s="29">
        <v>82</v>
      </c>
      <c r="H5" s="29">
        <v>63</v>
      </c>
      <c r="I5" s="29">
        <v>56</v>
      </c>
      <c r="J5" s="29">
        <v>69</v>
      </c>
      <c r="K5" s="29">
        <v>10</v>
      </c>
      <c r="L5" s="29">
        <v>96</v>
      </c>
      <c r="M5" s="29">
        <f>SUM(G5:L5)</f>
        <v>376</v>
      </c>
      <c r="N5" s="30">
        <f t="shared" si="0"/>
        <v>62.666666666666671</v>
      </c>
      <c r="O5" s="36">
        <f t="shared" si="1"/>
        <v>0.62666666666666671</v>
      </c>
    </row>
    <row r="6" spans="1:18" x14ac:dyDescent="0.25">
      <c r="A6" s="25" t="s">
        <v>40</v>
      </c>
      <c r="B6" s="27">
        <v>9876543210</v>
      </c>
      <c r="C6" s="25">
        <v>80</v>
      </c>
      <c r="D6" s="32">
        <v>45751</v>
      </c>
      <c r="E6" s="35"/>
      <c r="F6" s="31">
        <v>5000</v>
      </c>
      <c r="G6" s="29">
        <v>80</v>
      </c>
      <c r="H6" s="29">
        <v>91</v>
      </c>
      <c r="I6" s="29">
        <v>67</v>
      </c>
      <c r="J6" s="29">
        <v>2</v>
      </c>
      <c r="K6" s="29">
        <v>39</v>
      </c>
      <c r="L6" s="29">
        <v>25</v>
      </c>
      <c r="M6" s="29">
        <f>SUM(G6:L6)</f>
        <v>304</v>
      </c>
      <c r="N6" s="30">
        <f t="shared" si="0"/>
        <v>50.666666666666671</v>
      </c>
      <c r="O6" s="36">
        <f t="shared" si="1"/>
        <v>0.50666666666666671</v>
      </c>
    </row>
    <row r="7" spans="1:18" x14ac:dyDescent="0.25">
      <c r="A7" s="25" t="s">
        <v>41</v>
      </c>
      <c r="B7" s="27">
        <v>9876543210</v>
      </c>
      <c r="C7" s="25">
        <v>90</v>
      </c>
      <c r="D7" s="32">
        <v>45752</v>
      </c>
      <c r="E7" s="35"/>
      <c r="F7" s="31">
        <v>6000</v>
      </c>
      <c r="G7" s="29">
        <v>59</v>
      </c>
      <c r="H7" s="29">
        <v>38</v>
      </c>
      <c r="I7" s="29">
        <v>94</v>
      </c>
      <c r="J7" s="29">
        <v>47</v>
      </c>
      <c r="K7" s="29">
        <v>57</v>
      </c>
      <c r="L7" s="29">
        <v>83</v>
      </c>
      <c r="M7" s="29">
        <f>SUM(G7:L7)</f>
        <v>378</v>
      </c>
      <c r="N7" s="30">
        <f t="shared" si="0"/>
        <v>63</v>
      </c>
      <c r="O7" s="36">
        <f t="shared" si="1"/>
        <v>0.63</v>
      </c>
      <c r="Q7" t="s">
        <v>58</v>
      </c>
    </row>
    <row r="8" spans="1:18" x14ac:dyDescent="0.25">
      <c r="A8" s="25" t="s">
        <v>42</v>
      </c>
      <c r="B8" s="27">
        <v>9876543210</v>
      </c>
      <c r="C8" s="25">
        <v>100</v>
      </c>
      <c r="D8" s="32">
        <v>45753</v>
      </c>
      <c r="E8" s="35"/>
      <c r="F8" s="31">
        <v>10000</v>
      </c>
      <c r="G8" s="29">
        <v>50</v>
      </c>
      <c r="H8" s="29">
        <v>94</v>
      </c>
      <c r="I8" s="29">
        <v>19</v>
      </c>
      <c r="J8" s="29">
        <v>20</v>
      </c>
      <c r="K8" s="29">
        <v>6</v>
      </c>
      <c r="L8" s="29">
        <v>6</v>
      </c>
      <c r="M8" s="29">
        <f>SUM(G8:L8)</f>
        <v>195</v>
      </c>
      <c r="N8" s="30">
        <f t="shared" si="0"/>
        <v>32.5</v>
      </c>
      <c r="O8" s="36">
        <f t="shared" si="1"/>
        <v>0.32500000000000001</v>
      </c>
    </row>
    <row r="9" spans="1:18" x14ac:dyDescent="0.25">
      <c r="A9" s="25" t="s">
        <v>43</v>
      </c>
      <c r="B9" s="27">
        <v>9876543210</v>
      </c>
      <c r="C9" s="25">
        <v>110</v>
      </c>
      <c r="D9" s="32">
        <v>45754</v>
      </c>
      <c r="E9" s="35"/>
      <c r="F9" s="31">
        <v>5000</v>
      </c>
      <c r="G9" s="29">
        <v>46</v>
      </c>
      <c r="H9" s="29">
        <v>68</v>
      </c>
      <c r="I9" s="29">
        <v>89</v>
      </c>
      <c r="J9" s="29">
        <v>32</v>
      </c>
      <c r="K9" s="29">
        <v>83</v>
      </c>
      <c r="L9" s="29">
        <v>66</v>
      </c>
      <c r="M9" s="29">
        <f>SUM(G9:L9)</f>
        <v>384</v>
      </c>
      <c r="N9" s="30">
        <f t="shared" si="0"/>
        <v>64</v>
      </c>
      <c r="O9" s="36">
        <f t="shared" si="1"/>
        <v>0.64</v>
      </c>
    </row>
    <row r="10" spans="1:18" x14ac:dyDescent="0.25">
      <c r="A10" s="25" t="s">
        <v>44</v>
      </c>
      <c r="B10" s="27">
        <v>9876543210</v>
      </c>
      <c r="C10" s="25">
        <v>120</v>
      </c>
      <c r="D10" s="32">
        <v>45755</v>
      </c>
      <c r="E10" s="35"/>
      <c r="F10" s="31">
        <v>6000</v>
      </c>
      <c r="G10" s="29">
        <v>96</v>
      </c>
      <c r="H10" s="29">
        <v>27</v>
      </c>
      <c r="I10" s="29">
        <v>91</v>
      </c>
      <c r="J10" s="29">
        <v>30</v>
      </c>
      <c r="K10" s="29">
        <v>5</v>
      </c>
      <c r="L10" s="29">
        <v>50</v>
      </c>
      <c r="M10" s="29">
        <f>SUM(G10:L10)</f>
        <v>299</v>
      </c>
      <c r="N10" s="30">
        <f t="shared" si="0"/>
        <v>49.833333333333336</v>
      </c>
      <c r="O10" s="36">
        <f t="shared" si="1"/>
        <v>0.49833333333333335</v>
      </c>
    </row>
    <row r="11" spans="1:18" x14ac:dyDescent="0.25">
      <c r="A11" s="25" t="s">
        <v>45</v>
      </c>
      <c r="B11" s="27">
        <v>9876543210</v>
      </c>
      <c r="C11" s="25">
        <v>130</v>
      </c>
      <c r="D11" s="32">
        <v>45756</v>
      </c>
      <c r="E11" s="35"/>
      <c r="F11" s="31">
        <v>10000</v>
      </c>
      <c r="G11" s="29">
        <v>32</v>
      </c>
      <c r="H11" s="29">
        <v>15</v>
      </c>
      <c r="I11" s="29">
        <v>28</v>
      </c>
      <c r="J11" s="29">
        <v>34</v>
      </c>
      <c r="K11" s="29">
        <v>74</v>
      </c>
      <c r="L11" s="29">
        <v>74</v>
      </c>
      <c r="M11" s="29">
        <f>SUM(G11:L11)</f>
        <v>257</v>
      </c>
      <c r="N11" s="30">
        <f t="shared" si="0"/>
        <v>42.833333333333336</v>
      </c>
      <c r="O11" s="36">
        <f t="shared" si="1"/>
        <v>0.42833333333333334</v>
      </c>
      <c r="Q11" s="37"/>
      <c r="R11" s="37"/>
    </row>
    <row r="12" spans="1:18" x14ac:dyDescent="0.25">
      <c r="A12" s="25" t="s">
        <v>46</v>
      </c>
      <c r="B12" s="27">
        <v>9876543210</v>
      </c>
      <c r="C12" s="25">
        <v>140</v>
      </c>
      <c r="D12" s="32">
        <v>45757</v>
      </c>
      <c r="E12" s="35"/>
      <c r="F12" s="31">
        <v>5000</v>
      </c>
      <c r="G12" s="29">
        <v>41</v>
      </c>
      <c r="H12" s="29">
        <v>29</v>
      </c>
      <c r="I12" s="29">
        <v>6</v>
      </c>
      <c r="J12" s="29">
        <v>75</v>
      </c>
      <c r="K12" s="29">
        <v>24</v>
      </c>
      <c r="L12" s="29">
        <v>16</v>
      </c>
      <c r="M12" s="29">
        <f>SUM(G12:L12)</f>
        <v>191</v>
      </c>
      <c r="N12" s="30">
        <f t="shared" si="0"/>
        <v>31.833333333333336</v>
      </c>
      <c r="O12" s="36">
        <f t="shared" si="1"/>
        <v>0.31833333333333336</v>
      </c>
    </row>
    <row r="13" spans="1:18" x14ac:dyDescent="0.25">
      <c r="A13" s="25" t="s">
        <v>53</v>
      </c>
      <c r="B13" s="27">
        <v>9876543210</v>
      </c>
      <c r="C13" s="25">
        <v>150</v>
      </c>
      <c r="D13" s="32">
        <v>45758</v>
      </c>
      <c r="E13" s="35"/>
      <c r="F13" s="31">
        <v>6000</v>
      </c>
      <c r="G13" s="29">
        <v>79</v>
      </c>
      <c r="H13" s="29">
        <v>5</v>
      </c>
      <c r="I13" s="29">
        <v>26</v>
      </c>
      <c r="J13" s="29">
        <v>36</v>
      </c>
      <c r="K13" s="29">
        <v>54</v>
      </c>
      <c r="L13" s="29">
        <v>99</v>
      </c>
      <c r="M13" s="29">
        <f>SUM(G13:L13)</f>
        <v>299</v>
      </c>
      <c r="N13" s="30">
        <f t="shared" si="0"/>
        <v>49.833333333333336</v>
      </c>
      <c r="O13" s="36">
        <f t="shared" si="1"/>
        <v>0.49833333333333335</v>
      </c>
      <c r="Q13" s="37"/>
      <c r="R13" s="37"/>
    </row>
    <row r="14" spans="1:18" x14ac:dyDescent="0.25">
      <c r="A14" s="25" t="s">
        <v>54</v>
      </c>
      <c r="B14" s="27">
        <v>9876543210</v>
      </c>
      <c r="C14" s="25">
        <v>160</v>
      </c>
      <c r="D14" s="32">
        <v>45759</v>
      </c>
      <c r="E14" s="35"/>
      <c r="F14" s="31">
        <v>10000</v>
      </c>
      <c r="G14" s="29">
        <v>89</v>
      </c>
      <c r="H14" s="29">
        <v>70</v>
      </c>
      <c r="I14" s="29">
        <v>24</v>
      </c>
      <c r="J14" s="29">
        <v>30</v>
      </c>
      <c r="K14" s="29">
        <v>70</v>
      </c>
      <c r="L14" s="29">
        <v>48</v>
      </c>
      <c r="M14" s="29">
        <f>SUM(G14:L14)</f>
        <v>331</v>
      </c>
      <c r="N14" s="30">
        <f t="shared" si="0"/>
        <v>55.166666666666664</v>
      </c>
      <c r="O14" s="36">
        <f t="shared" si="1"/>
        <v>0.55166666666666664</v>
      </c>
    </row>
    <row r="17" spans="1:18" x14ac:dyDescent="0.25">
      <c r="A17" s="37" t="s">
        <v>30</v>
      </c>
      <c r="B17" s="37" t="s">
        <v>59</v>
      </c>
      <c r="C17" s="37" t="s">
        <v>60</v>
      </c>
      <c r="D17" s="38" t="s">
        <v>63</v>
      </c>
      <c r="E17" s="38" t="s">
        <v>64</v>
      </c>
      <c r="F17" s="37" t="s">
        <v>61</v>
      </c>
      <c r="G17" s="37" t="s">
        <v>31</v>
      </c>
      <c r="H17" s="37" t="s">
        <v>32</v>
      </c>
      <c r="I17" s="37" t="s">
        <v>33</v>
      </c>
      <c r="J17" s="37" t="s">
        <v>34</v>
      </c>
      <c r="K17" s="37" t="s">
        <v>35</v>
      </c>
      <c r="L17" s="37" t="s">
        <v>36</v>
      </c>
      <c r="M17" s="37" t="s">
        <v>47</v>
      </c>
      <c r="N17" s="39" t="s">
        <v>62</v>
      </c>
      <c r="O17" s="40"/>
      <c r="Q17" s="37"/>
      <c r="R17" s="37"/>
    </row>
    <row r="18" spans="1:18" x14ac:dyDescent="0.25">
      <c r="A18" s="25" t="s">
        <v>37</v>
      </c>
      <c r="B18" s="27">
        <v>9876543210</v>
      </c>
      <c r="C18" s="25">
        <v>50</v>
      </c>
      <c r="D18" s="32">
        <v>45748</v>
      </c>
      <c r="E18" s="35">
        <v>0.55555555555555558</v>
      </c>
      <c r="F18" s="31">
        <v>5000</v>
      </c>
      <c r="G18" s="29">
        <v>98</v>
      </c>
      <c r="H18" s="29">
        <v>5</v>
      </c>
      <c r="I18" s="29">
        <v>38</v>
      </c>
      <c r="J18" s="29">
        <v>24</v>
      </c>
      <c r="K18" s="29">
        <v>99</v>
      </c>
      <c r="L18" s="29">
        <v>79</v>
      </c>
      <c r="M18" s="29">
        <v>343</v>
      </c>
      <c r="N18" s="30">
        <v>57.166666666666664</v>
      </c>
      <c r="O18" s="36">
        <v>0.57166666666666666</v>
      </c>
    </row>
    <row r="19" spans="1:18" x14ac:dyDescent="0.25">
      <c r="A19" s="25" t="s">
        <v>38</v>
      </c>
      <c r="B19" s="27">
        <v>9876543210</v>
      </c>
      <c r="C19" s="25">
        <v>60</v>
      </c>
      <c r="D19" s="32">
        <v>45749</v>
      </c>
      <c r="E19" s="35"/>
      <c r="F19" s="31">
        <v>6000</v>
      </c>
      <c r="G19" s="29">
        <v>23</v>
      </c>
      <c r="H19" s="29">
        <v>65</v>
      </c>
      <c r="I19" s="29">
        <v>89</v>
      </c>
      <c r="J19" s="29">
        <v>66</v>
      </c>
      <c r="K19" s="29">
        <v>37</v>
      </c>
      <c r="L19" s="29">
        <v>40</v>
      </c>
      <c r="M19" s="29">
        <v>320</v>
      </c>
      <c r="N19" s="30">
        <v>53.333333333333336</v>
      </c>
      <c r="O19" s="36">
        <v>0.53333333333333333</v>
      </c>
    </row>
    <row r="20" spans="1:18" x14ac:dyDescent="0.25">
      <c r="A20" s="25" t="s">
        <v>39</v>
      </c>
      <c r="B20" s="27">
        <v>9876543210</v>
      </c>
      <c r="C20" s="25">
        <v>70</v>
      </c>
      <c r="D20" s="32">
        <v>45750</v>
      </c>
      <c r="E20" s="35"/>
      <c r="F20" s="31">
        <v>10000</v>
      </c>
      <c r="G20" s="29">
        <v>82</v>
      </c>
      <c r="H20" s="29">
        <v>63</v>
      </c>
      <c r="I20" s="29">
        <v>56</v>
      </c>
      <c r="J20" s="29">
        <v>69</v>
      </c>
      <c r="K20" s="29">
        <v>10</v>
      </c>
      <c r="L20" s="29">
        <v>96</v>
      </c>
      <c r="M20" s="29">
        <v>376</v>
      </c>
      <c r="N20" s="30">
        <v>62.666666666666671</v>
      </c>
      <c r="O20" s="36">
        <v>0.62666666666666671</v>
      </c>
      <c r="Q20" s="37"/>
      <c r="R20" s="37"/>
    </row>
    <row r="21" spans="1:18" x14ac:dyDescent="0.25">
      <c r="A21" s="25" t="s">
        <v>40</v>
      </c>
      <c r="B21" s="27">
        <v>9876543210</v>
      </c>
      <c r="C21" s="25">
        <v>80</v>
      </c>
      <c r="D21" s="32">
        <v>45751</v>
      </c>
      <c r="E21" s="35"/>
      <c r="F21" s="31">
        <v>5000</v>
      </c>
      <c r="G21" s="29">
        <v>80</v>
      </c>
      <c r="H21" s="29">
        <v>91</v>
      </c>
      <c r="I21" s="29">
        <v>67</v>
      </c>
      <c r="J21" s="29">
        <v>2</v>
      </c>
      <c r="K21" s="29">
        <v>39</v>
      </c>
      <c r="L21" s="29">
        <v>25</v>
      </c>
      <c r="M21" s="29">
        <v>304</v>
      </c>
      <c r="N21" s="30">
        <v>50.666666666666671</v>
      </c>
      <c r="O21" s="36">
        <v>0.50666666666666671</v>
      </c>
      <c r="Q21" s="37"/>
      <c r="R21" s="37"/>
    </row>
    <row r="22" spans="1:18" x14ac:dyDescent="0.25">
      <c r="A22" s="25" t="s">
        <v>41</v>
      </c>
      <c r="B22" s="27">
        <v>9876543210</v>
      </c>
      <c r="C22" s="25">
        <v>90</v>
      </c>
      <c r="D22" s="32">
        <v>45752</v>
      </c>
      <c r="E22" s="35"/>
      <c r="F22" s="31">
        <v>6000</v>
      </c>
      <c r="G22" s="29">
        <v>59</v>
      </c>
      <c r="H22" s="29">
        <v>38</v>
      </c>
      <c r="I22" s="29">
        <v>94</v>
      </c>
      <c r="J22" s="29">
        <v>47</v>
      </c>
      <c r="K22" s="29">
        <v>57</v>
      </c>
      <c r="L22" s="29">
        <v>83</v>
      </c>
      <c r="M22" s="29">
        <v>378</v>
      </c>
      <c r="N22" s="30">
        <v>63</v>
      </c>
      <c r="O22" s="36">
        <v>0.63</v>
      </c>
    </row>
    <row r="23" spans="1:18" x14ac:dyDescent="0.25">
      <c r="A23" s="25" t="s">
        <v>42</v>
      </c>
      <c r="B23" s="27">
        <v>9876543210</v>
      </c>
      <c r="C23" s="25">
        <v>100</v>
      </c>
      <c r="D23" s="32">
        <v>45753</v>
      </c>
      <c r="E23" s="35"/>
      <c r="F23" s="31">
        <v>10000</v>
      </c>
      <c r="G23" s="29">
        <v>7</v>
      </c>
      <c r="H23" s="29">
        <v>94</v>
      </c>
      <c r="I23" s="29">
        <v>19</v>
      </c>
      <c r="J23" s="29">
        <v>20</v>
      </c>
      <c r="K23" s="29">
        <v>6</v>
      </c>
      <c r="L23" s="29">
        <v>6</v>
      </c>
      <c r="M23" s="29">
        <v>152</v>
      </c>
      <c r="N23" s="30">
        <v>25.333333333333336</v>
      </c>
      <c r="O23" s="36">
        <v>0.25333333333333335</v>
      </c>
    </row>
    <row r="24" spans="1:18" x14ac:dyDescent="0.25">
      <c r="A24" s="25" t="s">
        <v>43</v>
      </c>
      <c r="B24" s="27">
        <v>9876543210</v>
      </c>
      <c r="C24" s="25">
        <v>110</v>
      </c>
      <c r="D24" s="32">
        <v>45754</v>
      </c>
      <c r="E24" s="35"/>
      <c r="F24" s="31">
        <v>5000</v>
      </c>
      <c r="G24" s="29">
        <v>46</v>
      </c>
      <c r="H24" s="29">
        <v>68</v>
      </c>
      <c r="I24" s="29">
        <v>89</v>
      </c>
      <c r="J24" s="29">
        <v>32</v>
      </c>
      <c r="K24" s="29">
        <v>83</v>
      </c>
      <c r="L24" s="29">
        <v>66</v>
      </c>
      <c r="M24" s="29">
        <v>384</v>
      </c>
      <c r="N24" s="30">
        <v>64</v>
      </c>
      <c r="O24" s="36">
        <v>0.64</v>
      </c>
      <c r="Q24" s="37"/>
      <c r="R24" s="37"/>
    </row>
    <row r="25" spans="1:18" x14ac:dyDescent="0.25">
      <c r="A25" s="25" t="s">
        <v>44</v>
      </c>
      <c r="B25" s="27">
        <v>9876543210</v>
      </c>
      <c r="C25" s="25">
        <v>120</v>
      </c>
      <c r="D25" s="32">
        <v>45755</v>
      </c>
      <c r="E25" s="35"/>
      <c r="F25" s="31">
        <v>6000</v>
      </c>
      <c r="G25" s="29">
        <v>96</v>
      </c>
      <c r="H25" s="29">
        <v>27</v>
      </c>
      <c r="I25" s="29">
        <v>91</v>
      </c>
      <c r="J25" s="29">
        <v>30</v>
      </c>
      <c r="K25" s="29">
        <v>5</v>
      </c>
      <c r="L25" s="29">
        <v>50</v>
      </c>
      <c r="M25" s="29">
        <v>299</v>
      </c>
      <c r="N25" s="30">
        <v>49.833333333333336</v>
      </c>
      <c r="O25" s="36">
        <v>0.49833333333333335</v>
      </c>
      <c r="Q25" s="37"/>
      <c r="R25" s="37"/>
    </row>
    <row r="26" spans="1:18" x14ac:dyDescent="0.25">
      <c r="A26" s="25" t="s">
        <v>45</v>
      </c>
      <c r="B26" s="27">
        <v>9876543210</v>
      </c>
      <c r="C26" s="25">
        <v>130</v>
      </c>
      <c r="D26" s="32">
        <v>45756</v>
      </c>
      <c r="E26" s="35"/>
      <c r="F26" s="31">
        <v>10000</v>
      </c>
      <c r="G26" s="29">
        <v>32</v>
      </c>
      <c r="H26" s="29">
        <v>15</v>
      </c>
      <c r="I26" s="29">
        <v>28</v>
      </c>
      <c r="J26" s="29">
        <v>34</v>
      </c>
      <c r="K26" s="29">
        <v>74</v>
      </c>
      <c r="L26" s="29">
        <v>74</v>
      </c>
      <c r="M26" s="29">
        <v>257</v>
      </c>
      <c r="N26" s="30">
        <v>42.833333333333336</v>
      </c>
      <c r="O26" s="36">
        <v>0.42833333333333334</v>
      </c>
    </row>
    <row r="27" spans="1:18" x14ac:dyDescent="0.25">
      <c r="A27" s="25" t="s">
        <v>46</v>
      </c>
      <c r="B27" s="27">
        <v>9876543210</v>
      </c>
      <c r="C27" s="25">
        <v>140</v>
      </c>
      <c r="D27" s="32">
        <v>45757</v>
      </c>
      <c r="E27" s="35"/>
      <c r="F27" s="31">
        <v>5000</v>
      </c>
      <c r="G27" s="29">
        <v>41</v>
      </c>
      <c r="H27" s="29">
        <v>29</v>
      </c>
      <c r="I27" s="29">
        <v>6</v>
      </c>
      <c r="J27" s="29">
        <v>75</v>
      </c>
      <c r="K27" s="29">
        <v>24</v>
      </c>
      <c r="L27" s="29">
        <v>16</v>
      </c>
      <c r="M27" s="29">
        <v>191</v>
      </c>
      <c r="N27" s="30">
        <v>31.833333333333336</v>
      </c>
      <c r="O27" s="36">
        <v>0.31833333333333336</v>
      </c>
    </row>
    <row r="28" spans="1:18" x14ac:dyDescent="0.25">
      <c r="A28" s="25" t="s">
        <v>53</v>
      </c>
      <c r="B28" s="27">
        <v>9876543210</v>
      </c>
      <c r="C28" s="25">
        <v>150</v>
      </c>
      <c r="D28" s="32">
        <v>45758</v>
      </c>
      <c r="E28" s="35"/>
      <c r="F28" s="31">
        <v>6000</v>
      </c>
      <c r="G28" s="29">
        <v>79</v>
      </c>
      <c r="H28" s="29">
        <v>5</v>
      </c>
      <c r="I28" s="29">
        <v>26</v>
      </c>
      <c r="J28" s="29">
        <v>36</v>
      </c>
      <c r="K28" s="29">
        <v>54</v>
      </c>
      <c r="L28" s="29">
        <v>99</v>
      </c>
      <c r="M28" s="29">
        <v>299</v>
      </c>
      <c r="N28" s="30">
        <v>49.833333333333336</v>
      </c>
      <c r="O28" s="36">
        <v>0.49833333333333335</v>
      </c>
      <c r="Q28" s="37"/>
      <c r="R28" s="37"/>
    </row>
    <row r="29" spans="1:18" x14ac:dyDescent="0.25">
      <c r="A29" s="25" t="s">
        <v>54</v>
      </c>
      <c r="B29" s="27">
        <v>9876543210</v>
      </c>
      <c r="C29" s="25">
        <v>160</v>
      </c>
      <c r="D29" s="32">
        <v>45759</v>
      </c>
      <c r="E29" s="35"/>
      <c r="F29" s="31">
        <v>10000</v>
      </c>
      <c r="G29" s="29">
        <v>89</v>
      </c>
      <c r="H29" s="29">
        <v>70</v>
      </c>
      <c r="I29" s="29">
        <v>24</v>
      </c>
      <c r="J29" s="29">
        <v>30</v>
      </c>
      <c r="K29" s="29">
        <v>70</v>
      </c>
      <c r="L29" s="29">
        <v>48</v>
      </c>
      <c r="M29" s="29">
        <v>331</v>
      </c>
      <c r="N29" s="30">
        <v>55.166666666666664</v>
      </c>
      <c r="O29" s="36">
        <v>0.55166666666666664</v>
      </c>
      <c r="Q29" s="37"/>
      <c r="R29" s="37"/>
    </row>
    <row r="32" spans="1:18" x14ac:dyDescent="0.25">
      <c r="A32" s="37"/>
      <c r="B32" s="37"/>
      <c r="C32" s="37"/>
      <c r="D32" s="38"/>
      <c r="E32" s="38"/>
      <c r="F32" s="37"/>
      <c r="G32" s="37"/>
      <c r="H32" s="37"/>
      <c r="I32" s="37"/>
      <c r="J32" s="37"/>
      <c r="K32" s="37"/>
      <c r="L32" s="37"/>
      <c r="M32" s="37"/>
      <c r="N32" s="39"/>
      <c r="O32" s="40"/>
      <c r="Q32" s="37"/>
      <c r="R32" s="37"/>
    </row>
    <row r="33" spans="1:15" x14ac:dyDescent="0.25">
      <c r="A33" s="25"/>
      <c r="B33" s="27"/>
      <c r="C33" s="25"/>
      <c r="D33" s="32"/>
      <c r="E33" s="35"/>
      <c r="F33" s="31"/>
      <c r="G33" s="29"/>
      <c r="H33" s="29"/>
      <c r="I33" s="29"/>
      <c r="J33" s="29"/>
      <c r="K33" s="29"/>
      <c r="L33" s="29"/>
      <c r="M33" s="29"/>
      <c r="N33" s="30"/>
      <c r="O33" s="36"/>
    </row>
    <row r="34" spans="1:15" x14ac:dyDescent="0.25">
      <c r="A34" s="25"/>
      <c r="B34" s="27"/>
      <c r="C34" s="25"/>
      <c r="D34" s="32"/>
      <c r="E34" s="35"/>
      <c r="F34" s="31">
        <v>50</v>
      </c>
      <c r="G34" s="29">
        <v>60</v>
      </c>
      <c r="H34" s="29"/>
      <c r="I34" s="29"/>
      <c r="J34" s="29"/>
      <c r="K34" s="29"/>
      <c r="L34" s="29"/>
      <c r="M34" s="29"/>
      <c r="N34" s="30"/>
      <c r="O34" s="36"/>
    </row>
    <row r="35" spans="1:15" x14ac:dyDescent="0.25">
      <c r="A35" s="25"/>
      <c r="B35" s="27"/>
      <c r="C35" s="25"/>
      <c r="D35" s="32">
        <v>46113</v>
      </c>
      <c r="E35" s="35"/>
      <c r="F35" s="31">
        <v>50</v>
      </c>
      <c r="G35" s="29"/>
      <c r="H35" s="29"/>
      <c r="I35" s="29"/>
      <c r="J35" s="29"/>
      <c r="K35" s="29"/>
      <c r="L35" s="29"/>
      <c r="M35" s="29"/>
      <c r="N35" s="30"/>
      <c r="O35" s="41">
        <v>1.4999999999999999E-2</v>
      </c>
    </row>
    <row r="36" spans="1:15" x14ac:dyDescent="0.25">
      <c r="A36" s="25"/>
      <c r="B36" s="27"/>
      <c r="C36" s="25"/>
      <c r="D36" s="32"/>
      <c r="E36" s="35"/>
      <c r="F36" s="31"/>
      <c r="G36" s="29"/>
      <c r="H36" s="29"/>
      <c r="I36" s="29"/>
      <c r="J36" s="29"/>
      <c r="K36" s="29"/>
      <c r="L36" s="29"/>
      <c r="M36" s="29"/>
      <c r="N36" s="30"/>
      <c r="O36" s="36"/>
    </row>
    <row r="37" spans="1:15" x14ac:dyDescent="0.25">
      <c r="A37" s="25"/>
      <c r="B37" s="27"/>
      <c r="C37" s="25"/>
      <c r="D37" s="32"/>
      <c r="E37" s="35"/>
      <c r="F37" s="31"/>
      <c r="G37" s="29"/>
      <c r="H37" s="29"/>
      <c r="I37" s="29"/>
      <c r="J37" s="29"/>
      <c r="K37" s="29"/>
      <c r="L37" s="29"/>
      <c r="M37" s="29"/>
      <c r="N37" s="30"/>
      <c r="O37" s="36"/>
    </row>
    <row r="38" spans="1:15" x14ac:dyDescent="0.25">
      <c r="A38" s="25"/>
      <c r="B38" s="27"/>
      <c r="C38" s="25"/>
      <c r="D38" s="32"/>
      <c r="E38" s="35"/>
      <c r="F38" s="31"/>
      <c r="G38" s="29"/>
      <c r="H38" s="29"/>
      <c r="I38" s="29"/>
      <c r="J38" s="29"/>
      <c r="K38" s="29"/>
      <c r="L38" s="29"/>
      <c r="M38" s="29"/>
      <c r="N38" s="30"/>
      <c r="O38" s="36"/>
    </row>
    <row r="39" spans="1:15" x14ac:dyDescent="0.25">
      <c r="A39" s="25"/>
      <c r="B39" s="27"/>
      <c r="C39" s="25"/>
      <c r="D39" s="32"/>
      <c r="E39" s="35"/>
      <c r="F39" s="31"/>
      <c r="G39" s="29"/>
      <c r="H39" s="29"/>
      <c r="I39" s="29"/>
      <c r="J39" s="29"/>
      <c r="K39" s="29"/>
      <c r="L39" s="29"/>
      <c r="M39" s="29"/>
      <c r="N39" s="30"/>
      <c r="O39" s="36"/>
    </row>
    <row r="40" spans="1:15" x14ac:dyDescent="0.25">
      <c r="A40" s="25"/>
      <c r="B40" s="27"/>
      <c r="C40" s="25"/>
      <c r="D40" s="32"/>
      <c r="E40" s="35"/>
      <c r="F40" s="31"/>
      <c r="G40" s="29"/>
      <c r="H40" s="29"/>
      <c r="I40" s="29"/>
      <c r="J40" s="29"/>
      <c r="K40" s="29"/>
      <c r="L40" s="29"/>
      <c r="M40" s="29"/>
      <c r="N40" s="30"/>
      <c r="O40" s="36"/>
    </row>
    <row r="41" spans="1:15" x14ac:dyDescent="0.25">
      <c r="A41" s="25"/>
      <c r="B41" s="27"/>
      <c r="C41" s="25"/>
      <c r="D41" s="32"/>
      <c r="E41" s="35"/>
      <c r="F41" s="31"/>
      <c r="G41" s="29"/>
      <c r="H41" s="29"/>
      <c r="I41" s="29"/>
      <c r="J41" s="29"/>
      <c r="K41" s="29"/>
      <c r="L41" s="29"/>
      <c r="M41" s="29"/>
      <c r="N41" s="30"/>
      <c r="O41" s="36"/>
    </row>
    <row r="42" spans="1:15" x14ac:dyDescent="0.25">
      <c r="A42" s="25"/>
      <c r="B42" s="27"/>
      <c r="C42" s="25"/>
      <c r="D42" s="32"/>
      <c r="E42" s="35"/>
      <c r="F42" s="31"/>
      <c r="G42" s="29"/>
      <c r="H42" s="29"/>
      <c r="I42" s="29"/>
      <c r="J42" s="29"/>
      <c r="K42" s="29"/>
      <c r="L42" s="29"/>
      <c r="M42" s="29"/>
      <c r="N42" s="30"/>
      <c r="O42" s="36"/>
    </row>
    <row r="43" spans="1:15" x14ac:dyDescent="0.25">
      <c r="A43" s="25"/>
      <c r="B43" s="27"/>
      <c r="C43" s="25"/>
      <c r="D43" s="32"/>
      <c r="E43" s="35"/>
      <c r="F43" s="31"/>
      <c r="G43" s="29"/>
      <c r="H43" s="29"/>
      <c r="I43" s="29"/>
      <c r="J43" s="29"/>
      <c r="K43" s="29"/>
      <c r="L43" s="29"/>
      <c r="M43" s="29"/>
      <c r="N43" s="30"/>
      <c r="O43" s="36"/>
    </row>
    <row r="44" spans="1:15" x14ac:dyDescent="0.25">
      <c r="A44" s="25"/>
      <c r="B44" s="27"/>
      <c r="C44" s="25"/>
      <c r="D44" s="32"/>
      <c r="E44" s="35"/>
      <c r="F44" s="31"/>
      <c r="G44" s="29"/>
      <c r="H44" s="29"/>
      <c r="I44" s="29"/>
      <c r="J44" s="29"/>
      <c r="K44" s="29"/>
      <c r="L44" s="29"/>
      <c r="M44" s="29"/>
      <c r="N44" s="30"/>
      <c r="O44" s="36"/>
    </row>
    <row r="47" spans="1:15" x14ac:dyDescent="0.25">
      <c r="A47" s="37">
        <f t="shared" ref="A47:O47" si="2">A2</f>
        <v>50</v>
      </c>
      <c r="B47" s="37" t="str">
        <f t="shared" si="2"/>
        <v>Contact</v>
      </c>
      <c r="C47" s="37" t="str">
        <f t="shared" si="2"/>
        <v>kjasndjkf</v>
      </c>
      <c r="D47" s="38" t="str">
        <f t="shared" si="2"/>
        <v>DOJ</v>
      </c>
      <c r="E47" s="38" t="str">
        <f t="shared" si="2"/>
        <v>IN Time</v>
      </c>
      <c r="F47" s="37" t="str">
        <f t="shared" si="2"/>
        <v>Fee</v>
      </c>
      <c r="G47" s="37" t="str">
        <f t="shared" si="2"/>
        <v>Sub 1</v>
      </c>
      <c r="H47" s="37" t="str">
        <f t="shared" si="2"/>
        <v>Sub 2</v>
      </c>
      <c r="I47" s="37" t="str">
        <f t="shared" si="2"/>
        <v>Sub 3</v>
      </c>
      <c r="J47" s="37" t="str">
        <f t="shared" si="2"/>
        <v>Sub 4</v>
      </c>
      <c r="K47" s="37" t="str">
        <f t="shared" si="2"/>
        <v>Sub 5</v>
      </c>
      <c r="L47" s="37" t="str">
        <f t="shared" si="2"/>
        <v>Sub 6</v>
      </c>
      <c r="M47" s="37" t="str">
        <f t="shared" si="2"/>
        <v>Total</v>
      </c>
      <c r="N47" s="39" t="str">
        <f t="shared" si="2"/>
        <v>Percentage</v>
      </c>
      <c r="O47" s="40">
        <f t="shared" si="2"/>
        <v>0</v>
      </c>
    </row>
    <row r="48" spans="1:15" x14ac:dyDescent="0.25">
      <c r="A48" t="str">
        <f t="shared" ref="A48:O48" si="3">A3</f>
        <v>Name 1</v>
      </c>
      <c r="B48">
        <f t="shared" si="3"/>
        <v>9876543210</v>
      </c>
      <c r="C48">
        <f t="shared" si="3"/>
        <v>50</v>
      </c>
      <c r="D48" s="34">
        <f t="shared" si="3"/>
        <v>45748</v>
      </c>
      <c r="E48" s="34">
        <f t="shared" si="3"/>
        <v>0.55555555555555558</v>
      </c>
      <c r="F48">
        <f t="shared" si="3"/>
        <v>5000</v>
      </c>
      <c r="G48">
        <f t="shared" si="3"/>
        <v>98</v>
      </c>
      <c r="H48">
        <f t="shared" si="3"/>
        <v>5</v>
      </c>
      <c r="I48">
        <f t="shared" si="3"/>
        <v>38</v>
      </c>
      <c r="J48">
        <f t="shared" si="3"/>
        <v>24</v>
      </c>
      <c r="K48">
        <f t="shared" si="3"/>
        <v>99</v>
      </c>
      <c r="L48">
        <f t="shared" si="3"/>
        <v>79</v>
      </c>
      <c r="M48">
        <f t="shared" si="3"/>
        <v>343</v>
      </c>
      <c r="N48">
        <f t="shared" si="3"/>
        <v>57.166666666666664</v>
      </c>
      <c r="O48">
        <f t="shared" si="3"/>
        <v>0.57166666666666666</v>
      </c>
    </row>
    <row r="49" spans="1:15" x14ac:dyDescent="0.25">
      <c r="A49" t="str">
        <f t="shared" ref="A49:O49" si="4">A4</f>
        <v>Name 2</v>
      </c>
      <c r="B49">
        <f t="shared" si="4"/>
        <v>9876543210</v>
      </c>
      <c r="C49">
        <f t="shared" si="4"/>
        <v>60</v>
      </c>
      <c r="D49" s="34">
        <f t="shared" si="4"/>
        <v>45749</v>
      </c>
      <c r="E49" s="34">
        <f t="shared" si="4"/>
        <v>0</v>
      </c>
      <c r="F49">
        <f t="shared" si="4"/>
        <v>6000</v>
      </c>
      <c r="G49">
        <f t="shared" si="4"/>
        <v>23</v>
      </c>
      <c r="H49">
        <f t="shared" si="4"/>
        <v>65</v>
      </c>
      <c r="I49">
        <f t="shared" si="4"/>
        <v>89</v>
      </c>
      <c r="J49">
        <f t="shared" si="4"/>
        <v>66</v>
      </c>
      <c r="K49">
        <f t="shared" si="4"/>
        <v>37</v>
      </c>
      <c r="L49">
        <f t="shared" si="4"/>
        <v>40</v>
      </c>
      <c r="M49">
        <f t="shared" si="4"/>
        <v>320</v>
      </c>
      <c r="N49">
        <f t="shared" si="4"/>
        <v>53.333333333333336</v>
      </c>
      <c r="O49">
        <f t="shared" si="4"/>
        <v>0.53333333333333333</v>
      </c>
    </row>
    <row r="50" spans="1:15" x14ac:dyDescent="0.25">
      <c r="A50" t="str">
        <f t="shared" ref="A50:O50" si="5">A5</f>
        <v>Name 3</v>
      </c>
      <c r="B50">
        <f t="shared" si="5"/>
        <v>9876543210</v>
      </c>
      <c r="C50">
        <f t="shared" si="5"/>
        <v>70</v>
      </c>
      <c r="D50" s="34">
        <f t="shared" si="5"/>
        <v>45750</v>
      </c>
      <c r="E50" s="34">
        <f t="shared" si="5"/>
        <v>0</v>
      </c>
      <c r="F50">
        <f t="shared" si="5"/>
        <v>10000</v>
      </c>
      <c r="G50">
        <f t="shared" si="5"/>
        <v>82</v>
      </c>
      <c r="H50">
        <f t="shared" si="5"/>
        <v>63</v>
      </c>
      <c r="I50">
        <f t="shared" si="5"/>
        <v>56</v>
      </c>
      <c r="J50">
        <f t="shared" si="5"/>
        <v>69</v>
      </c>
      <c r="K50">
        <f t="shared" si="5"/>
        <v>10</v>
      </c>
      <c r="L50">
        <f t="shared" si="5"/>
        <v>96</v>
      </c>
      <c r="M50">
        <f t="shared" si="5"/>
        <v>376</v>
      </c>
      <c r="N50">
        <f t="shared" si="5"/>
        <v>62.666666666666671</v>
      </c>
      <c r="O50">
        <f t="shared" si="5"/>
        <v>0.62666666666666671</v>
      </c>
    </row>
    <row r="51" spans="1:15" x14ac:dyDescent="0.25">
      <c r="A51" t="str">
        <f t="shared" ref="A51:O51" si="6">A6</f>
        <v>Name 4</v>
      </c>
      <c r="B51">
        <f t="shared" si="6"/>
        <v>9876543210</v>
      </c>
      <c r="C51">
        <f t="shared" si="6"/>
        <v>80</v>
      </c>
      <c r="D51" s="34">
        <f t="shared" si="6"/>
        <v>45751</v>
      </c>
      <c r="E51" s="34">
        <f t="shared" si="6"/>
        <v>0</v>
      </c>
      <c r="F51">
        <f t="shared" si="6"/>
        <v>5000</v>
      </c>
      <c r="G51">
        <f t="shared" si="6"/>
        <v>80</v>
      </c>
      <c r="H51">
        <f t="shared" si="6"/>
        <v>91</v>
      </c>
      <c r="I51">
        <f t="shared" si="6"/>
        <v>67</v>
      </c>
      <c r="J51">
        <f t="shared" si="6"/>
        <v>2</v>
      </c>
      <c r="K51">
        <f t="shared" si="6"/>
        <v>39</v>
      </c>
      <c r="L51">
        <f t="shared" si="6"/>
        <v>25</v>
      </c>
      <c r="M51">
        <f t="shared" si="6"/>
        <v>304</v>
      </c>
      <c r="N51">
        <f t="shared" si="6"/>
        <v>50.666666666666671</v>
      </c>
      <c r="O51">
        <f t="shared" si="6"/>
        <v>0.50666666666666671</v>
      </c>
    </row>
    <row r="52" spans="1:15" x14ac:dyDescent="0.25">
      <c r="A52" t="str">
        <f t="shared" ref="A52:O52" si="7">A7</f>
        <v>Name 5</v>
      </c>
      <c r="B52">
        <f t="shared" si="7"/>
        <v>9876543210</v>
      </c>
      <c r="C52">
        <f t="shared" si="7"/>
        <v>90</v>
      </c>
      <c r="D52" s="34">
        <f t="shared" si="7"/>
        <v>45752</v>
      </c>
      <c r="E52" s="34">
        <f t="shared" si="7"/>
        <v>0</v>
      </c>
      <c r="F52">
        <f t="shared" si="7"/>
        <v>6000</v>
      </c>
      <c r="G52">
        <f t="shared" si="7"/>
        <v>59</v>
      </c>
      <c r="H52">
        <f t="shared" si="7"/>
        <v>38</v>
      </c>
      <c r="I52">
        <f t="shared" si="7"/>
        <v>94</v>
      </c>
      <c r="J52">
        <f t="shared" si="7"/>
        <v>47</v>
      </c>
      <c r="K52">
        <f t="shared" si="7"/>
        <v>57</v>
      </c>
      <c r="L52">
        <f t="shared" si="7"/>
        <v>83</v>
      </c>
      <c r="M52">
        <f t="shared" si="7"/>
        <v>378</v>
      </c>
      <c r="N52">
        <f t="shared" si="7"/>
        <v>63</v>
      </c>
      <c r="O52">
        <f t="shared" si="7"/>
        <v>0.63</v>
      </c>
    </row>
    <row r="53" spans="1:15" x14ac:dyDescent="0.25">
      <c r="A53" t="str">
        <f t="shared" ref="A53:O53" si="8">A8</f>
        <v>Name 6</v>
      </c>
      <c r="B53">
        <f t="shared" si="8"/>
        <v>9876543210</v>
      </c>
      <c r="C53">
        <f t="shared" si="8"/>
        <v>100</v>
      </c>
      <c r="D53" s="34">
        <f t="shared" si="8"/>
        <v>45753</v>
      </c>
      <c r="E53" s="34">
        <f t="shared" si="8"/>
        <v>0</v>
      </c>
      <c r="F53">
        <f t="shared" si="8"/>
        <v>10000</v>
      </c>
      <c r="G53">
        <f t="shared" si="8"/>
        <v>50</v>
      </c>
      <c r="H53">
        <f t="shared" si="8"/>
        <v>94</v>
      </c>
      <c r="I53">
        <f t="shared" si="8"/>
        <v>19</v>
      </c>
      <c r="J53">
        <f t="shared" si="8"/>
        <v>20</v>
      </c>
      <c r="K53">
        <f t="shared" si="8"/>
        <v>6</v>
      </c>
      <c r="L53">
        <f t="shared" si="8"/>
        <v>6</v>
      </c>
      <c r="M53">
        <f t="shared" si="8"/>
        <v>195</v>
      </c>
      <c r="N53">
        <f t="shared" si="8"/>
        <v>32.5</v>
      </c>
      <c r="O53">
        <f t="shared" si="8"/>
        <v>0.32500000000000001</v>
      </c>
    </row>
    <row r="54" spans="1:15" x14ac:dyDescent="0.25">
      <c r="A54" t="str">
        <f t="shared" ref="A54:O54" si="9">A9</f>
        <v>Name 7</v>
      </c>
      <c r="B54">
        <f t="shared" si="9"/>
        <v>9876543210</v>
      </c>
      <c r="C54">
        <f t="shared" si="9"/>
        <v>110</v>
      </c>
      <c r="D54" s="34">
        <f t="shared" si="9"/>
        <v>45754</v>
      </c>
      <c r="E54" s="34">
        <f t="shared" si="9"/>
        <v>0</v>
      </c>
      <c r="F54">
        <f t="shared" si="9"/>
        <v>5000</v>
      </c>
      <c r="G54">
        <f t="shared" si="9"/>
        <v>46</v>
      </c>
      <c r="H54">
        <f t="shared" si="9"/>
        <v>68</v>
      </c>
      <c r="I54">
        <f t="shared" si="9"/>
        <v>89</v>
      </c>
      <c r="J54">
        <f t="shared" si="9"/>
        <v>32</v>
      </c>
      <c r="K54">
        <f t="shared" si="9"/>
        <v>83</v>
      </c>
      <c r="L54">
        <f t="shared" si="9"/>
        <v>66</v>
      </c>
      <c r="M54">
        <f t="shared" si="9"/>
        <v>384</v>
      </c>
      <c r="N54">
        <f t="shared" si="9"/>
        <v>64</v>
      </c>
      <c r="O54">
        <f t="shared" si="9"/>
        <v>0.64</v>
      </c>
    </row>
    <row r="55" spans="1:15" x14ac:dyDescent="0.25">
      <c r="A55" t="str">
        <f t="shared" ref="A55:O55" si="10">A10</f>
        <v>Name 8</v>
      </c>
      <c r="B55">
        <f t="shared" si="10"/>
        <v>9876543210</v>
      </c>
      <c r="C55">
        <f t="shared" si="10"/>
        <v>120</v>
      </c>
      <c r="D55" s="34">
        <f t="shared" si="10"/>
        <v>45755</v>
      </c>
      <c r="E55" s="34">
        <f t="shared" si="10"/>
        <v>0</v>
      </c>
      <c r="F55">
        <f t="shared" si="10"/>
        <v>6000</v>
      </c>
      <c r="G55">
        <f t="shared" si="10"/>
        <v>96</v>
      </c>
      <c r="H55">
        <f t="shared" si="10"/>
        <v>27</v>
      </c>
      <c r="I55">
        <f t="shared" si="10"/>
        <v>91</v>
      </c>
      <c r="J55">
        <f t="shared" si="10"/>
        <v>30</v>
      </c>
      <c r="K55">
        <f t="shared" si="10"/>
        <v>5</v>
      </c>
      <c r="L55">
        <f t="shared" si="10"/>
        <v>50</v>
      </c>
      <c r="M55">
        <f t="shared" si="10"/>
        <v>299</v>
      </c>
      <c r="N55">
        <f t="shared" si="10"/>
        <v>49.833333333333336</v>
      </c>
      <c r="O55">
        <f t="shared" si="10"/>
        <v>0.49833333333333335</v>
      </c>
    </row>
    <row r="56" spans="1:15" x14ac:dyDescent="0.25">
      <c r="A56" t="str">
        <f t="shared" ref="A56:O56" si="11">A11</f>
        <v>Name 9</v>
      </c>
      <c r="B56">
        <f t="shared" si="11"/>
        <v>9876543210</v>
      </c>
      <c r="C56">
        <f t="shared" si="11"/>
        <v>130</v>
      </c>
      <c r="D56" s="34">
        <f t="shared" si="11"/>
        <v>45756</v>
      </c>
      <c r="E56" s="34">
        <f t="shared" si="11"/>
        <v>0</v>
      </c>
      <c r="F56">
        <f t="shared" si="11"/>
        <v>10000</v>
      </c>
      <c r="G56">
        <f t="shared" si="11"/>
        <v>32</v>
      </c>
      <c r="H56">
        <f t="shared" si="11"/>
        <v>15</v>
      </c>
      <c r="I56">
        <f t="shared" si="11"/>
        <v>28</v>
      </c>
      <c r="J56">
        <f t="shared" si="11"/>
        <v>34</v>
      </c>
      <c r="K56">
        <f t="shared" si="11"/>
        <v>74</v>
      </c>
      <c r="L56">
        <f t="shared" si="11"/>
        <v>74</v>
      </c>
      <c r="M56">
        <f t="shared" si="11"/>
        <v>257</v>
      </c>
      <c r="N56">
        <f t="shared" si="11"/>
        <v>42.833333333333336</v>
      </c>
      <c r="O56">
        <f t="shared" si="11"/>
        <v>0.42833333333333334</v>
      </c>
    </row>
    <row r="57" spans="1:15" x14ac:dyDescent="0.25">
      <c r="A57" t="str">
        <f t="shared" ref="A57:O57" si="12">A12</f>
        <v>Name 10</v>
      </c>
      <c r="B57">
        <f t="shared" si="12"/>
        <v>9876543210</v>
      </c>
      <c r="C57">
        <f t="shared" si="12"/>
        <v>140</v>
      </c>
      <c r="D57" s="34">
        <f t="shared" si="12"/>
        <v>45757</v>
      </c>
      <c r="E57" s="34">
        <f t="shared" si="12"/>
        <v>0</v>
      </c>
      <c r="F57">
        <f t="shared" si="12"/>
        <v>5000</v>
      </c>
      <c r="G57">
        <f t="shared" si="12"/>
        <v>41</v>
      </c>
      <c r="H57">
        <f t="shared" si="12"/>
        <v>29</v>
      </c>
      <c r="I57">
        <f t="shared" si="12"/>
        <v>6</v>
      </c>
      <c r="J57">
        <f t="shared" si="12"/>
        <v>75</v>
      </c>
      <c r="K57">
        <f t="shared" si="12"/>
        <v>24</v>
      </c>
      <c r="L57">
        <f t="shared" si="12"/>
        <v>16</v>
      </c>
      <c r="M57">
        <f t="shared" si="12"/>
        <v>191</v>
      </c>
      <c r="N57">
        <f t="shared" si="12"/>
        <v>31.833333333333336</v>
      </c>
      <c r="O57">
        <f t="shared" si="12"/>
        <v>0.31833333333333336</v>
      </c>
    </row>
    <row r="58" spans="1:15" x14ac:dyDescent="0.25">
      <c r="A58" t="str">
        <f t="shared" ref="A58:O58" si="13">A13</f>
        <v>Name 11</v>
      </c>
      <c r="B58">
        <f t="shared" si="13"/>
        <v>9876543210</v>
      </c>
      <c r="C58">
        <f t="shared" si="13"/>
        <v>150</v>
      </c>
      <c r="D58" s="34">
        <f t="shared" si="13"/>
        <v>45758</v>
      </c>
      <c r="E58" s="34">
        <f t="shared" si="13"/>
        <v>0</v>
      </c>
      <c r="F58">
        <f t="shared" si="13"/>
        <v>6000</v>
      </c>
      <c r="G58">
        <f t="shared" si="13"/>
        <v>79</v>
      </c>
      <c r="H58">
        <f t="shared" si="13"/>
        <v>5</v>
      </c>
      <c r="I58">
        <f t="shared" si="13"/>
        <v>26</v>
      </c>
      <c r="J58">
        <f t="shared" si="13"/>
        <v>36</v>
      </c>
      <c r="K58">
        <f t="shared" si="13"/>
        <v>54</v>
      </c>
      <c r="L58">
        <f t="shared" si="13"/>
        <v>99</v>
      </c>
      <c r="M58">
        <f t="shared" si="13"/>
        <v>299</v>
      </c>
      <c r="N58">
        <f t="shared" si="13"/>
        <v>49.833333333333336</v>
      </c>
      <c r="O58">
        <f t="shared" si="13"/>
        <v>0.49833333333333335</v>
      </c>
    </row>
    <row r="59" spans="1:15" x14ac:dyDescent="0.25">
      <c r="A59" t="str">
        <f t="shared" ref="A59:O59" si="14">A14</f>
        <v>Name 12</v>
      </c>
      <c r="B59">
        <f t="shared" si="14"/>
        <v>9876543210</v>
      </c>
      <c r="C59">
        <f t="shared" si="14"/>
        <v>160</v>
      </c>
      <c r="D59" s="34">
        <f t="shared" si="14"/>
        <v>45759</v>
      </c>
      <c r="E59" s="34">
        <f t="shared" si="14"/>
        <v>0</v>
      </c>
      <c r="F59">
        <f t="shared" si="14"/>
        <v>10000</v>
      </c>
      <c r="G59">
        <f t="shared" si="14"/>
        <v>89</v>
      </c>
      <c r="H59">
        <f t="shared" si="14"/>
        <v>70</v>
      </c>
      <c r="I59">
        <f t="shared" si="14"/>
        <v>24</v>
      </c>
      <c r="J59">
        <f t="shared" si="14"/>
        <v>30</v>
      </c>
      <c r="K59">
        <f t="shared" si="14"/>
        <v>70</v>
      </c>
      <c r="L59">
        <f t="shared" si="14"/>
        <v>48</v>
      </c>
      <c r="M59">
        <f t="shared" si="14"/>
        <v>331</v>
      </c>
      <c r="N59">
        <f t="shared" si="14"/>
        <v>55.166666666666664</v>
      </c>
      <c r="O59">
        <f t="shared" si="14"/>
        <v>0.55166666666666664</v>
      </c>
    </row>
    <row r="81" spans="2:13" x14ac:dyDescent="0.25">
      <c r="B81" s="46">
        <v>67</v>
      </c>
      <c r="C81" s="46">
        <v>2</v>
      </c>
      <c r="L81" s="46">
        <v>67</v>
      </c>
      <c r="M81" s="46">
        <v>2</v>
      </c>
    </row>
    <row r="82" spans="2:13" x14ac:dyDescent="0.25">
      <c r="B82" s="46">
        <v>94</v>
      </c>
      <c r="C82" s="46">
        <v>47</v>
      </c>
      <c r="I82" s="42">
        <v>50</v>
      </c>
      <c r="J82" s="43">
        <v>45748</v>
      </c>
      <c r="L82" s="46">
        <v>94</v>
      </c>
      <c r="M82" s="46">
        <v>47</v>
      </c>
    </row>
    <row r="83" spans="2:13" x14ac:dyDescent="0.25">
      <c r="B83" s="46">
        <v>19</v>
      </c>
      <c r="C83" s="46">
        <v>20</v>
      </c>
      <c r="I83" s="44">
        <v>60</v>
      </c>
      <c r="J83" s="45">
        <v>45749</v>
      </c>
      <c r="L83" s="46">
        <v>19</v>
      </c>
      <c r="M83" s="46">
        <v>20</v>
      </c>
    </row>
    <row r="84" spans="2:13" x14ac:dyDescent="0.25">
      <c r="B84" s="46">
        <v>89</v>
      </c>
      <c r="C84" s="46">
        <v>32</v>
      </c>
      <c r="I84" s="44">
        <v>70</v>
      </c>
      <c r="J84" s="45">
        <v>45750</v>
      </c>
      <c r="L84" s="46">
        <v>89</v>
      </c>
      <c r="M84" s="46">
        <v>32</v>
      </c>
    </row>
    <row r="85" spans="2:13" x14ac:dyDescent="0.25">
      <c r="B85" s="46">
        <v>91</v>
      </c>
      <c r="C85" s="46">
        <v>30</v>
      </c>
      <c r="I85" s="44">
        <v>80</v>
      </c>
      <c r="J85" s="45">
        <v>45751</v>
      </c>
      <c r="L85" s="46">
        <v>91</v>
      </c>
      <c r="M85" s="46">
        <v>30</v>
      </c>
    </row>
    <row r="86" spans="2:13" x14ac:dyDescent="0.25">
      <c r="I86" s="44">
        <v>90</v>
      </c>
      <c r="J86" s="45">
        <v>45752</v>
      </c>
    </row>
    <row r="87" spans="2:13" x14ac:dyDescent="0.25">
      <c r="I87" s="44">
        <v>100</v>
      </c>
      <c r="J87" s="45">
        <v>45753</v>
      </c>
    </row>
    <row r="88" spans="2:13" x14ac:dyDescent="0.25">
      <c r="I88" s="44">
        <v>110</v>
      </c>
      <c r="J88" s="45">
        <v>45754</v>
      </c>
    </row>
    <row r="89" spans="2:13" x14ac:dyDescent="0.25">
      <c r="B89" s="25">
        <v>50</v>
      </c>
      <c r="C89" s="32">
        <v>45748</v>
      </c>
      <c r="F89" s="42">
        <v>50</v>
      </c>
      <c r="G89" s="43">
        <v>45748</v>
      </c>
      <c r="I89" s="44">
        <v>120</v>
      </c>
      <c r="J89" s="45">
        <v>45755</v>
      </c>
    </row>
    <row r="90" spans="2:13" x14ac:dyDescent="0.25">
      <c r="B90" s="25">
        <v>60</v>
      </c>
      <c r="C90" s="32">
        <v>45749</v>
      </c>
      <c r="F90" s="44">
        <v>60</v>
      </c>
      <c r="G90" s="45">
        <v>45749</v>
      </c>
      <c r="I90" s="44">
        <v>130</v>
      </c>
      <c r="J90" s="45">
        <v>45756</v>
      </c>
      <c r="L90" s="42">
        <v>50</v>
      </c>
      <c r="M90" s="43">
        <v>45748</v>
      </c>
    </row>
    <row r="91" spans="2:13" x14ac:dyDescent="0.25">
      <c r="B91" s="25">
        <v>70</v>
      </c>
      <c r="C91" s="32">
        <v>45750</v>
      </c>
      <c r="F91" s="44">
        <v>70</v>
      </c>
      <c r="G91" s="45">
        <v>45750</v>
      </c>
      <c r="I91" s="44">
        <v>140</v>
      </c>
      <c r="J91" s="45">
        <v>45757</v>
      </c>
      <c r="L91" s="44">
        <v>60</v>
      </c>
      <c r="M91" s="45">
        <v>45749</v>
      </c>
    </row>
    <row r="92" spans="2:13" x14ac:dyDescent="0.25">
      <c r="B92" s="25">
        <v>80</v>
      </c>
      <c r="C92" s="32">
        <v>45751</v>
      </c>
      <c r="F92" s="44">
        <v>80</v>
      </c>
      <c r="G92" s="45">
        <v>45751</v>
      </c>
      <c r="I92" s="44">
        <v>150</v>
      </c>
      <c r="J92" s="45">
        <v>45758</v>
      </c>
      <c r="L92" s="44">
        <v>70</v>
      </c>
      <c r="M92" s="45">
        <v>45750</v>
      </c>
    </row>
    <row r="93" spans="2:13" x14ac:dyDescent="0.25">
      <c r="B93" s="25">
        <v>90</v>
      </c>
      <c r="C93" s="32">
        <v>45752</v>
      </c>
      <c r="F93" s="44">
        <v>90</v>
      </c>
      <c r="G93" s="45">
        <v>45752</v>
      </c>
      <c r="I93" s="44">
        <v>160</v>
      </c>
      <c r="J93" s="45">
        <v>45759</v>
      </c>
      <c r="L93" s="44">
        <v>80</v>
      </c>
      <c r="M93" s="45">
        <v>45751</v>
      </c>
    </row>
    <row r="94" spans="2:13" x14ac:dyDescent="0.25">
      <c r="B94" s="25">
        <v>100</v>
      </c>
      <c r="C94" s="32">
        <v>45753</v>
      </c>
      <c r="F94" s="44">
        <v>100</v>
      </c>
      <c r="G94" s="45">
        <v>45753</v>
      </c>
      <c r="L94" s="44">
        <v>90</v>
      </c>
      <c r="M94" s="45">
        <v>45752</v>
      </c>
    </row>
    <row r="95" spans="2:13" x14ac:dyDescent="0.25">
      <c r="B95" s="25">
        <v>110</v>
      </c>
      <c r="C95" s="32">
        <v>45754</v>
      </c>
      <c r="F95" s="44">
        <v>110</v>
      </c>
      <c r="G95" s="45">
        <v>45754</v>
      </c>
      <c r="L95" s="44">
        <v>100</v>
      </c>
      <c r="M95" s="45">
        <v>45753</v>
      </c>
    </row>
    <row r="96" spans="2:13" x14ac:dyDescent="0.25">
      <c r="B96" s="25">
        <v>120</v>
      </c>
      <c r="C96" s="32">
        <v>45755</v>
      </c>
      <c r="F96" s="44">
        <v>120</v>
      </c>
      <c r="G96" s="45">
        <v>45755</v>
      </c>
      <c r="L96" s="44">
        <v>110</v>
      </c>
      <c r="M96" s="45">
        <v>45754</v>
      </c>
    </row>
    <row r="97" spans="2:13" x14ac:dyDescent="0.25">
      <c r="B97" s="25">
        <v>130</v>
      </c>
      <c r="C97" s="32">
        <v>45756</v>
      </c>
      <c r="F97" s="44">
        <v>130</v>
      </c>
      <c r="G97" s="45">
        <v>45756</v>
      </c>
      <c r="J97" s="46">
        <v>67</v>
      </c>
      <c r="K97" s="46">
        <v>2</v>
      </c>
      <c r="L97" s="44">
        <v>120</v>
      </c>
      <c r="M97" s="45">
        <v>45755</v>
      </c>
    </row>
    <row r="98" spans="2:13" x14ac:dyDescent="0.25">
      <c r="B98" s="25">
        <v>140</v>
      </c>
      <c r="C98" s="32">
        <v>45757</v>
      </c>
      <c r="F98" s="44">
        <v>140</v>
      </c>
      <c r="G98" s="45">
        <v>45757</v>
      </c>
      <c r="J98" s="46">
        <v>94</v>
      </c>
      <c r="K98" s="46">
        <v>47</v>
      </c>
      <c r="L98" s="44">
        <v>130</v>
      </c>
      <c r="M98" s="45">
        <v>45756</v>
      </c>
    </row>
    <row r="99" spans="2:13" x14ac:dyDescent="0.25">
      <c r="B99" s="25">
        <v>150</v>
      </c>
      <c r="C99" s="32">
        <v>45758</v>
      </c>
      <c r="F99" s="44">
        <v>150</v>
      </c>
      <c r="G99" s="45">
        <v>45758</v>
      </c>
      <c r="J99" s="46">
        <v>19</v>
      </c>
      <c r="K99" s="46">
        <v>20</v>
      </c>
      <c r="L99" s="44">
        <v>140</v>
      </c>
      <c r="M99" s="45">
        <v>45757</v>
      </c>
    </row>
    <row r="100" spans="2:13" x14ac:dyDescent="0.25">
      <c r="B100" s="25">
        <v>160</v>
      </c>
      <c r="C100" s="32">
        <v>45759</v>
      </c>
      <c r="F100" s="44">
        <v>160</v>
      </c>
      <c r="G100" s="45">
        <v>45759</v>
      </c>
      <c r="J100" s="46">
        <v>89</v>
      </c>
      <c r="K100" s="46">
        <v>32</v>
      </c>
      <c r="L100" s="44">
        <v>150</v>
      </c>
      <c r="M100" s="45">
        <v>45758</v>
      </c>
    </row>
    <row r="101" spans="2:13" x14ac:dyDescent="0.25">
      <c r="J101" s="46">
        <v>91</v>
      </c>
      <c r="K101" s="46">
        <v>30</v>
      </c>
      <c r="L101" s="44">
        <v>160</v>
      </c>
      <c r="M101" s="45">
        <v>45759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1EB3-4739-4985-8FC2-3A029EB01329}">
  <dimension ref="A1:O29"/>
  <sheetViews>
    <sheetView workbookViewId="0">
      <selection activeCell="A17" sqref="A17:O29"/>
    </sheetView>
  </sheetViews>
  <sheetFormatPr defaultRowHeight="15" x14ac:dyDescent="0.25"/>
  <cols>
    <col min="2" max="2" width="12.7109375" bestFit="1" customWidth="1"/>
    <col min="4" max="4" width="10.42578125" bestFit="1" customWidth="1"/>
    <col min="5" max="5" width="10.42578125" customWidth="1"/>
    <col min="6" max="6" width="16.85546875" customWidth="1"/>
    <col min="14" max="14" width="9.5703125" bestFit="1" customWidth="1"/>
  </cols>
  <sheetData>
    <row r="1" spans="1:15" x14ac:dyDescent="0.25">
      <c r="A1" s="25" t="s">
        <v>30</v>
      </c>
      <c r="B1" s="25" t="s">
        <v>59</v>
      </c>
      <c r="C1" s="25" t="s">
        <v>60</v>
      </c>
      <c r="D1" s="32" t="s">
        <v>63</v>
      </c>
      <c r="E1" s="32" t="s">
        <v>64</v>
      </c>
      <c r="F1" s="25" t="s">
        <v>61</v>
      </c>
      <c r="G1" s="25" t="s">
        <v>31</v>
      </c>
      <c r="H1" s="25" t="s">
        <v>32</v>
      </c>
      <c r="I1" s="25" t="s">
        <v>33</v>
      </c>
      <c r="J1" s="25" t="s">
        <v>34</v>
      </c>
      <c r="K1" s="25" t="s">
        <v>35</v>
      </c>
      <c r="L1" s="25" t="s">
        <v>36</v>
      </c>
      <c r="M1" s="25" t="s">
        <v>47</v>
      </c>
      <c r="N1" s="28" t="s">
        <v>62</v>
      </c>
    </row>
    <row r="2" spans="1:15" x14ac:dyDescent="0.25">
      <c r="A2" s="25" t="s">
        <v>37</v>
      </c>
      <c r="B2" s="27">
        <v>9876543210</v>
      </c>
      <c r="C2" s="25">
        <v>50</v>
      </c>
      <c r="D2" s="32">
        <v>45748</v>
      </c>
      <c r="E2" s="35">
        <v>0.55555555555555558</v>
      </c>
      <c r="F2" s="31">
        <v>5000</v>
      </c>
      <c r="G2" s="29">
        <v>98</v>
      </c>
      <c r="H2" s="29">
        <v>5</v>
      </c>
      <c r="I2" s="29">
        <v>38</v>
      </c>
      <c r="J2" s="29">
        <v>24</v>
      </c>
      <c r="K2" s="29">
        <v>99</v>
      </c>
      <c r="L2" s="29">
        <v>79</v>
      </c>
      <c r="M2" s="29">
        <f>SUM(G2:L2)</f>
        <v>343</v>
      </c>
      <c r="N2" s="30">
        <f>M2/600*100</f>
        <v>57.166666666666664</v>
      </c>
      <c r="O2" s="36">
        <f>M2/600</f>
        <v>0.57166666666666666</v>
      </c>
    </row>
    <row r="3" spans="1:15" x14ac:dyDescent="0.25">
      <c r="A3" s="25" t="s">
        <v>38</v>
      </c>
      <c r="B3" s="27">
        <v>9876543210</v>
      </c>
      <c r="C3" s="25">
        <v>60</v>
      </c>
      <c r="D3" s="32">
        <v>45749</v>
      </c>
      <c r="E3" s="35"/>
      <c r="F3" s="31">
        <v>6000</v>
      </c>
      <c r="G3" s="29">
        <v>23</v>
      </c>
      <c r="H3" s="29">
        <v>65</v>
      </c>
      <c r="I3" s="29">
        <v>89</v>
      </c>
      <c r="J3" s="29">
        <v>66</v>
      </c>
      <c r="K3" s="29">
        <v>37</v>
      </c>
      <c r="L3" s="29">
        <v>40</v>
      </c>
      <c r="M3" s="29">
        <f>SUM(G3:L3)</f>
        <v>320</v>
      </c>
      <c r="N3" s="30">
        <f t="shared" ref="N3:N13" si="0">M3/600*100</f>
        <v>53.333333333333336</v>
      </c>
      <c r="O3" s="36">
        <f t="shared" ref="O3:O13" si="1">M3/600</f>
        <v>0.53333333333333333</v>
      </c>
    </row>
    <row r="4" spans="1:15" x14ac:dyDescent="0.25">
      <c r="A4" s="25" t="s">
        <v>39</v>
      </c>
      <c r="B4" s="27">
        <v>9876543210</v>
      </c>
      <c r="C4" s="25">
        <v>70</v>
      </c>
      <c r="D4" s="32">
        <v>45750</v>
      </c>
      <c r="E4" s="35"/>
      <c r="F4" s="31">
        <v>10000</v>
      </c>
      <c r="G4" s="29">
        <v>82</v>
      </c>
      <c r="H4" s="29">
        <v>63</v>
      </c>
      <c r="I4" s="29">
        <v>56</v>
      </c>
      <c r="J4" s="29">
        <v>69</v>
      </c>
      <c r="K4" s="29">
        <v>10</v>
      </c>
      <c r="L4" s="29">
        <v>96</v>
      </c>
      <c r="M4" s="29">
        <f>SUM(G4:L4)</f>
        <v>376</v>
      </c>
      <c r="N4" s="30">
        <f t="shared" si="0"/>
        <v>62.666666666666671</v>
      </c>
      <c r="O4" s="36">
        <f t="shared" si="1"/>
        <v>0.62666666666666671</v>
      </c>
    </row>
    <row r="5" spans="1:15" x14ac:dyDescent="0.25">
      <c r="A5" s="25" t="s">
        <v>40</v>
      </c>
      <c r="B5" s="27">
        <v>9876543210</v>
      </c>
      <c r="C5" s="25">
        <v>80</v>
      </c>
      <c r="D5" s="32">
        <v>45751</v>
      </c>
      <c r="E5" s="35"/>
      <c r="F5" s="31">
        <v>5000</v>
      </c>
      <c r="G5" s="29">
        <v>80</v>
      </c>
      <c r="H5" s="29">
        <v>91</v>
      </c>
      <c r="I5" s="29">
        <v>67</v>
      </c>
      <c r="J5" s="29">
        <v>2</v>
      </c>
      <c r="K5" s="29">
        <v>39</v>
      </c>
      <c r="L5" s="29">
        <v>25</v>
      </c>
      <c r="M5" s="29">
        <f>SUM(G5:L5)</f>
        <v>304</v>
      </c>
      <c r="N5" s="30">
        <f t="shared" si="0"/>
        <v>50.666666666666671</v>
      </c>
      <c r="O5" s="36">
        <f t="shared" si="1"/>
        <v>0.50666666666666671</v>
      </c>
    </row>
    <row r="6" spans="1:15" x14ac:dyDescent="0.25">
      <c r="A6" s="25" t="s">
        <v>41</v>
      </c>
      <c r="B6" s="27">
        <v>9876543210</v>
      </c>
      <c r="C6" s="25">
        <v>90</v>
      </c>
      <c r="D6" s="32">
        <v>45752</v>
      </c>
      <c r="E6" s="35"/>
      <c r="F6" s="31">
        <v>6000</v>
      </c>
      <c r="G6" s="29">
        <v>59</v>
      </c>
      <c r="H6" s="29">
        <v>38</v>
      </c>
      <c r="I6" s="29">
        <v>94</v>
      </c>
      <c r="J6" s="29">
        <v>47</v>
      </c>
      <c r="K6" s="29">
        <v>57</v>
      </c>
      <c r="L6" s="29">
        <v>83</v>
      </c>
      <c r="M6" s="29">
        <f>SUM(G6:L6)</f>
        <v>378</v>
      </c>
      <c r="N6" s="30">
        <f t="shared" si="0"/>
        <v>63</v>
      </c>
      <c r="O6" s="36">
        <f t="shared" si="1"/>
        <v>0.63</v>
      </c>
    </row>
    <row r="7" spans="1:15" x14ac:dyDescent="0.25">
      <c r="A7" s="25" t="s">
        <v>42</v>
      </c>
      <c r="B7" s="27">
        <v>9876543210</v>
      </c>
      <c r="C7" s="25">
        <v>100</v>
      </c>
      <c r="D7" s="32">
        <v>45753</v>
      </c>
      <c r="E7" s="35"/>
      <c r="F7" s="31">
        <v>10000</v>
      </c>
      <c r="G7" s="29">
        <v>7</v>
      </c>
      <c r="H7" s="29">
        <v>94</v>
      </c>
      <c r="I7" s="29">
        <v>19</v>
      </c>
      <c r="J7" s="29">
        <v>20</v>
      </c>
      <c r="K7" s="29">
        <v>6</v>
      </c>
      <c r="L7" s="29">
        <v>6</v>
      </c>
      <c r="M7" s="29">
        <f>SUM(G7:L7)</f>
        <v>152</v>
      </c>
      <c r="N7" s="30">
        <f t="shared" si="0"/>
        <v>25.333333333333336</v>
      </c>
      <c r="O7" s="36">
        <f t="shared" si="1"/>
        <v>0.25333333333333335</v>
      </c>
    </row>
    <row r="8" spans="1:15" x14ac:dyDescent="0.25">
      <c r="A8" s="25" t="s">
        <v>43</v>
      </c>
      <c r="B8" s="27">
        <v>9876543210</v>
      </c>
      <c r="C8" s="25">
        <v>110</v>
      </c>
      <c r="D8" s="32">
        <v>45754</v>
      </c>
      <c r="E8" s="35"/>
      <c r="F8" s="31">
        <v>5000</v>
      </c>
      <c r="G8" s="29">
        <v>46</v>
      </c>
      <c r="H8" s="29">
        <v>68</v>
      </c>
      <c r="I8" s="29">
        <v>89</v>
      </c>
      <c r="J8" s="29">
        <v>32</v>
      </c>
      <c r="K8" s="29">
        <v>83</v>
      </c>
      <c r="L8" s="29">
        <v>66</v>
      </c>
      <c r="M8" s="29">
        <f>SUM(G8:L8)</f>
        <v>384</v>
      </c>
      <c r="N8" s="30">
        <f t="shared" si="0"/>
        <v>64</v>
      </c>
      <c r="O8" s="36">
        <f t="shared" si="1"/>
        <v>0.64</v>
      </c>
    </row>
    <row r="9" spans="1:15" x14ac:dyDescent="0.25">
      <c r="A9" s="25" t="s">
        <v>44</v>
      </c>
      <c r="B9" s="27">
        <v>9876543210</v>
      </c>
      <c r="C9" s="25">
        <v>120</v>
      </c>
      <c r="D9" s="32">
        <v>45755</v>
      </c>
      <c r="E9" s="35"/>
      <c r="F9" s="31">
        <v>6000</v>
      </c>
      <c r="G9" s="29">
        <v>96</v>
      </c>
      <c r="H9" s="29">
        <v>27</v>
      </c>
      <c r="I9" s="29">
        <v>91</v>
      </c>
      <c r="J9" s="29">
        <v>30</v>
      </c>
      <c r="K9" s="29">
        <v>5</v>
      </c>
      <c r="L9" s="29">
        <v>50</v>
      </c>
      <c r="M9" s="29">
        <f>SUM(G9:L9)</f>
        <v>299</v>
      </c>
      <c r="N9" s="30">
        <f t="shared" si="0"/>
        <v>49.833333333333336</v>
      </c>
      <c r="O9" s="36">
        <f t="shared" si="1"/>
        <v>0.49833333333333335</v>
      </c>
    </row>
    <row r="10" spans="1:15" x14ac:dyDescent="0.25">
      <c r="A10" s="25" t="s">
        <v>45</v>
      </c>
      <c r="B10" s="27">
        <v>9876543210</v>
      </c>
      <c r="C10" s="25">
        <v>130</v>
      </c>
      <c r="D10" s="32">
        <v>45756</v>
      </c>
      <c r="E10" s="35"/>
      <c r="F10" s="31">
        <v>10000</v>
      </c>
      <c r="G10" s="29">
        <v>32</v>
      </c>
      <c r="H10" s="29">
        <v>15</v>
      </c>
      <c r="I10" s="29">
        <v>28</v>
      </c>
      <c r="J10" s="29">
        <v>34</v>
      </c>
      <c r="K10" s="29">
        <v>74</v>
      </c>
      <c r="L10" s="29">
        <v>74</v>
      </c>
      <c r="M10" s="29">
        <f>SUM(G10:L10)</f>
        <v>257</v>
      </c>
      <c r="N10" s="30">
        <f t="shared" si="0"/>
        <v>42.833333333333336</v>
      </c>
      <c r="O10" s="36">
        <f t="shared" si="1"/>
        <v>0.42833333333333334</v>
      </c>
    </row>
    <row r="11" spans="1:15" x14ac:dyDescent="0.25">
      <c r="A11" s="25" t="s">
        <v>46</v>
      </c>
      <c r="B11" s="27">
        <v>9876543210</v>
      </c>
      <c r="C11" s="25">
        <v>140</v>
      </c>
      <c r="D11" s="32">
        <v>45757</v>
      </c>
      <c r="E11" s="35"/>
      <c r="F11" s="31">
        <v>5000</v>
      </c>
      <c r="G11" s="29">
        <v>41</v>
      </c>
      <c r="H11" s="29">
        <v>29</v>
      </c>
      <c r="I11" s="29">
        <v>6</v>
      </c>
      <c r="J11" s="29">
        <v>75</v>
      </c>
      <c r="K11" s="29">
        <v>24</v>
      </c>
      <c r="L11" s="29">
        <v>16</v>
      </c>
      <c r="M11" s="29">
        <f>SUM(G11:L11)</f>
        <v>191</v>
      </c>
      <c r="N11" s="30">
        <f t="shared" si="0"/>
        <v>31.833333333333336</v>
      </c>
      <c r="O11" s="36">
        <f t="shared" si="1"/>
        <v>0.31833333333333336</v>
      </c>
    </row>
    <row r="12" spans="1:15" x14ac:dyDescent="0.25">
      <c r="A12" s="25" t="s">
        <v>53</v>
      </c>
      <c r="B12" s="27">
        <v>9876543210</v>
      </c>
      <c r="C12" s="25">
        <v>150</v>
      </c>
      <c r="D12" s="32">
        <v>45758</v>
      </c>
      <c r="E12" s="35"/>
      <c r="F12" s="31">
        <v>6000</v>
      </c>
      <c r="G12" s="29">
        <v>79</v>
      </c>
      <c r="H12" s="29">
        <v>5</v>
      </c>
      <c r="I12" s="29">
        <v>26</v>
      </c>
      <c r="J12" s="29">
        <v>36</v>
      </c>
      <c r="K12" s="29">
        <v>54</v>
      </c>
      <c r="L12" s="29">
        <v>99</v>
      </c>
      <c r="M12" s="29">
        <f>SUM(G12:L12)</f>
        <v>299</v>
      </c>
      <c r="N12" s="30">
        <f t="shared" si="0"/>
        <v>49.833333333333336</v>
      </c>
      <c r="O12" s="36">
        <f t="shared" si="1"/>
        <v>0.49833333333333335</v>
      </c>
    </row>
    <row r="13" spans="1:15" x14ac:dyDescent="0.25">
      <c r="A13" s="25" t="s">
        <v>54</v>
      </c>
      <c r="B13" s="27">
        <v>9876543210</v>
      </c>
      <c r="C13" s="25">
        <v>160</v>
      </c>
      <c r="D13" s="32">
        <v>45759</v>
      </c>
      <c r="E13" s="35"/>
      <c r="F13" s="31">
        <v>10000</v>
      </c>
      <c r="G13" s="29">
        <v>89</v>
      </c>
      <c r="H13" s="29">
        <v>70</v>
      </c>
      <c r="I13" s="29">
        <v>24</v>
      </c>
      <c r="J13" s="29">
        <v>30</v>
      </c>
      <c r="K13" s="29">
        <v>70</v>
      </c>
      <c r="L13" s="29">
        <v>48</v>
      </c>
      <c r="M13" s="29">
        <f>SUM(G13:L13)</f>
        <v>331</v>
      </c>
      <c r="N13" s="30">
        <f t="shared" si="0"/>
        <v>55.166666666666664</v>
      </c>
      <c r="O13" s="36">
        <f t="shared" si="1"/>
        <v>0.55166666666666664</v>
      </c>
    </row>
    <row r="17" spans="1:15" x14ac:dyDescent="0.25">
      <c r="A17" s="25" t="s">
        <v>30</v>
      </c>
      <c r="B17" s="25" t="s">
        <v>59</v>
      </c>
      <c r="C17" s="25" t="s">
        <v>60</v>
      </c>
      <c r="D17" s="32" t="s">
        <v>63</v>
      </c>
      <c r="E17" s="32" t="s">
        <v>64</v>
      </c>
      <c r="F17" s="25" t="s">
        <v>61</v>
      </c>
      <c r="G17" s="25" t="s">
        <v>31</v>
      </c>
      <c r="H17" s="25" t="s">
        <v>32</v>
      </c>
      <c r="I17" s="25" t="s">
        <v>33</v>
      </c>
      <c r="J17" s="25" t="s">
        <v>34</v>
      </c>
      <c r="K17" s="25" t="s">
        <v>35</v>
      </c>
      <c r="L17" s="25" t="s">
        <v>36</v>
      </c>
      <c r="M17" s="25" t="s">
        <v>47</v>
      </c>
      <c r="N17" s="28" t="s">
        <v>62</v>
      </c>
    </row>
    <row r="18" spans="1:15" x14ac:dyDescent="0.25">
      <c r="A18" s="25" t="s">
        <v>37</v>
      </c>
      <c r="B18" s="27">
        <v>9876543210</v>
      </c>
      <c r="C18" s="25">
        <v>50</v>
      </c>
      <c r="D18" s="32">
        <v>45748</v>
      </c>
      <c r="E18" s="35">
        <v>0.55555555555555558</v>
      </c>
      <c r="F18" s="31">
        <v>5000</v>
      </c>
      <c r="G18" s="29">
        <v>98</v>
      </c>
      <c r="H18" s="29">
        <v>5</v>
      </c>
      <c r="I18" s="29">
        <v>38</v>
      </c>
      <c r="J18" s="29">
        <v>24</v>
      </c>
      <c r="K18" s="29">
        <v>99</v>
      </c>
      <c r="L18" s="29">
        <v>79</v>
      </c>
      <c r="M18" s="29">
        <f>SUM(G18:L18)</f>
        <v>343</v>
      </c>
      <c r="N18" s="30">
        <f>M18/600*100</f>
        <v>57.166666666666664</v>
      </c>
      <c r="O18" s="36">
        <f>M18/600</f>
        <v>0.57166666666666666</v>
      </c>
    </row>
    <row r="19" spans="1:15" x14ac:dyDescent="0.25">
      <c r="A19" s="25" t="s">
        <v>38</v>
      </c>
      <c r="B19" s="27">
        <v>9876543210</v>
      </c>
      <c r="C19" s="25">
        <v>60</v>
      </c>
      <c r="D19" s="32">
        <v>45749</v>
      </c>
      <c r="E19" s="35"/>
      <c r="F19" s="31">
        <v>6000</v>
      </c>
      <c r="G19" s="29">
        <v>23</v>
      </c>
      <c r="H19" s="29">
        <v>65</v>
      </c>
      <c r="I19" s="29">
        <v>89</v>
      </c>
      <c r="J19" s="29">
        <v>66</v>
      </c>
      <c r="K19" s="29">
        <v>37</v>
      </c>
      <c r="L19" s="29">
        <v>40</v>
      </c>
      <c r="M19" s="29">
        <f>SUM(G19:L19)</f>
        <v>320</v>
      </c>
      <c r="N19" s="30">
        <f t="shared" ref="N19:N29" si="2">M19/600*100</f>
        <v>53.333333333333336</v>
      </c>
      <c r="O19" s="36">
        <f t="shared" ref="O19:O29" si="3">M19/600</f>
        <v>0.53333333333333333</v>
      </c>
    </row>
    <row r="20" spans="1:15" x14ac:dyDescent="0.25">
      <c r="A20" s="25" t="s">
        <v>39</v>
      </c>
      <c r="B20" s="27">
        <v>9876543210</v>
      </c>
      <c r="C20" s="25">
        <v>70</v>
      </c>
      <c r="D20" s="32">
        <v>45750</v>
      </c>
      <c r="E20" s="35"/>
      <c r="F20" s="31">
        <v>10000</v>
      </c>
      <c r="G20" s="29">
        <v>82</v>
      </c>
      <c r="H20" s="29">
        <v>63</v>
      </c>
      <c r="I20" s="29">
        <v>56</v>
      </c>
      <c r="J20" s="29">
        <v>69</v>
      </c>
      <c r="K20" s="29">
        <v>10</v>
      </c>
      <c r="L20" s="29">
        <v>96</v>
      </c>
      <c r="M20" s="29">
        <f>SUM(G20:L20)</f>
        <v>376</v>
      </c>
      <c r="N20" s="30">
        <f t="shared" si="2"/>
        <v>62.666666666666671</v>
      </c>
      <c r="O20" s="36">
        <f t="shared" si="3"/>
        <v>0.62666666666666671</v>
      </c>
    </row>
    <row r="21" spans="1:15" x14ac:dyDescent="0.25">
      <c r="A21" s="25" t="s">
        <v>40</v>
      </c>
      <c r="B21" s="27">
        <v>9876543210</v>
      </c>
      <c r="C21" s="25">
        <v>80</v>
      </c>
      <c r="D21" s="32">
        <v>45751</v>
      </c>
      <c r="E21" s="35"/>
      <c r="F21" s="31">
        <v>5000</v>
      </c>
      <c r="G21" s="29">
        <v>80</v>
      </c>
      <c r="H21" s="29">
        <v>91</v>
      </c>
      <c r="I21" s="29">
        <v>67</v>
      </c>
      <c r="J21" s="29">
        <v>2</v>
      </c>
      <c r="K21" s="29">
        <v>39</v>
      </c>
      <c r="L21" s="29">
        <v>25</v>
      </c>
      <c r="M21" s="29">
        <f>SUM(G21:L21)</f>
        <v>304</v>
      </c>
      <c r="N21" s="30">
        <f t="shared" si="2"/>
        <v>50.666666666666671</v>
      </c>
      <c r="O21" s="36">
        <f t="shared" si="3"/>
        <v>0.50666666666666671</v>
      </c>
    </row>
    <row r="22" spans="1:15" x14ac:dyDescent="0.25">
      <c r="A22" s="25" t="s">
        <v>41</v>
      </c>
      <c r="B22" s="27">
        <v>9876543210</v>
      </c>
      <c r="C22" s="25">
        <v>90</v>
      </c>
      <c r="D22" s="32">
        <v>45752</v>
      </c>
      <c r="E22" s="35"/>
      <c r="F22" s="31">
        <v>6000</v>
      </c>
      <c r="G22" s="29">
        <v>59</v>
      </c>
      <c r="H22" s="29">
        <v>38</v>
      </c>
      <c r="I22" s="29">
        <v>94</v>
      </c>
      <c r="J22" s="29">
        <v>47</v>
      </c>
      <c r="K22" s="29">
        <v>57</v>
      </c>
      <c r="L22" s="29">
        <v>83</v>
      </c>
      <c r="M22" s="29">
        <f>SUM(G22:L22)</f>
        <v>378</v>
      </c>
      <c r="N22" s="30">
        <f t="shared" si="2"/>
        <v>63</v>
      </c>
      <c r="O22" s="36">
        <f t="shared" si="3"/>
        <v>0.63</v>
      </c>
    </row>
    <row r="23" spans="1:15" x14ac:dyDescent="0.25">
      <c r="A23" s="25" t="s">
        <v>42</v>
      </c>
      <c r="B23" s="27">
        <v>9876543210</v>
      </c>
      <c r="C23" s="25">
        <v>100</v>
      </c>
      <c r="D23" s="32">
        <v>45753</v>
      </c>
      <c r="E23" s="35"/>
      <c r="F23" s="31">
        <v>10000</v>
      </c>
      <c r="G23" s="29">
        <v>7</v>
      </c>
      <c r="H23" s="29">
        <v>94</v>
      </c>
      <c r="I23" s="29">
        <v>19</v>
      </c>
      <c r="J23" s="29">
        <v>20</v>
      </c>
      <c r="K23" s="29">
        <v>6</v>
      </c>
      <c r="L23" s="29">
        <v>6</v>
      </c>
      <c r="M23" s="29">
        <f>SUM(G23:L23)</f>
        <v>152</v>
      </c>
      <c r="N23" s="30">
        <f t="shared" si="2"/>
        <v>25.333333333333336</v>
      </c>
      <c r="O23" s="36">
        <f t="shared" si="3"/>
        <v>0.25333333333333335</v>
      </c>
    </row>
    <row r="24" spans="1:15" x14ac:dyDescent="0.25">
      <c r="A24" s="25" t="s">
        <v>43</v>
      </c>
      <c r="B24" s="27">
        <v>9876543210</v>
      </c>
      <c r="C24" s="25">
        <v>110</v>
      </c>
      <c r="D24" s="32">
        <v>45754</v>
      </c>
      <c r="E24" s="35"/>
      <c r="F24" s="31">
        <v>5000</v>
      </c>
      <c r="G24" s="29">
        <v>46</v>
      </c>
      <c r="H24" s="29">
        <v>68</v>
      </c>
      <c r="I24" s="29">
        <v>89</v>
      </c>
      <c r="J24" s="29">
        <v>32</v>
      </c>
      <c r="K24" s="29">
        <v>83</v>
      </c>
      <c r="L24" s="29">
        <v>66</v>
      </c>
      <c r="M24" s="29">
        <f>SUM(G24:L24)</f>
        <v>384</v>
      </c>
      <c r="N24" s="30">
        <f t="shared" si="2"/>
        <v>64</v>
      </c>
      <c r="O24" s="36">
        <f t="shared" si="3"/>
        <v>0.64</v>
      </c>
    </row>
    <row r="25" spans="1:15" x14ac:dyDescent="0.25">
      <c r="A25" s="25" t="s">
        <v>44</v>
      </c>
      <c r="B25" s="27">
        <v>9876543210</v>
      </c>
      <c r="C25" s="25">
        <v>120</v>
      </c>
      <c r="D25" s="32">
        <v>45755</v>
      </c>
      <c r="E25" s="35"/>
      <c r="F25" s="31">
        <v>6000</v>
      </c>
      <c r="G25" s="29">
        <v>96</v>
      </c>
      <c r="H25" s="29">
        <v>27</v>
      </c>
      <c r="I25" s="29">
        <v>91</v>
      </c>
      <c r="J25" s="29">
        <v>30</v>
      </c>
      <c r="K25" s="29">
        <v>5</v>
      </c>
      <c r="L25" s="29">
        <v>50</v>
      </c>
      <c r="M25" s="29">
        <f>SUM(G25:L25)</f>
        <v>299</v>
      </c>
      <c r="N25" s="30">
        <f t="shared" si="2"/>
        <v>49.833333333333336</v>
      </c>
      <c r="O25" s="36">
        <f t="shared" si="3"/>
        <v>0.49833333333333335</v>
      </c>
    </row>
    <row r="26" spans="1:15" x14ac:dyDescent="0.25">
      <c r="A26" s="25" t="s">
        <v>45</v>
      </c>
      <c r="B26" s="27">
        <v>9876543210</v>
      </c>
      <c r="C26" s="25">
        <v>130</v>
      </c>
      <c r="D26" s="32">
        <v>45756</v>
      </c>
      <c r="E26" s="35"/>
      <c r="F26" s="31">
        <v>10000</v>
      </c>
      <c r="G26" s="29">
        <v>32</v>
      </c>
      <c r="H26" s="29">
        <v>15</v>
      </c>
      <c r="I26" s="29">
        <v>28</v>
      </c>
      <c r="J26" s="29">
        <v>34</v>
      </c>
      <c r="K26" s="29">
        <v>74</v>
      </c>
      <c r="L26" s="29">
        <v>74</v>
      </c>
      <c r="M26" s="29">
        <f>SUM(G26:L26)</f>
        <v>257</v>
      </c>
      <c r="N26" s="30">
        <f t="shared" si="2"/>
        <v>42.833333333333336</v>
      </c>
      <c r="O26" s="36">
        <f t="shared" si="3"/>
        <v>0.42833333333333334</v>
      </c>
    </row>
    <row r="27" spans="1:15" x14ac:dyDescent="0.25">
      <c r="A27" s="25" t="s">
        <v>46</v>
      </c>
      <c r="B27" s="27">
        <v>9876543210</v>
      </c>
      <c r="C27" s="25">
        <v>140</v>
      </c>
      <c r="D27" s="32">
        <v>45757</v>
      </c>
      <c r="E27" s="35"/>
      <c r="F27" s="31">
        <v>5000</v>
      </c>
      <c r="G27" s="29">
        <v>41</v>
      </c>
      <c r="H27" s="29">
        <v>29</v>
      </c>
      <c r="I27" s="29">
        <v>6</v>
      </c>
      <c r="J27" s="29">
        <v>75</v>
      </c>
      <c r="K27" s="29">
        <v>24</v>
      </c>
      <c r="L27" s="29">
        <v>16</v>
      </c>
      <c r="M27" s="29">
        <f>SUM(G27:L27)</f>
        <v>191</v>
      </c>
      <c r="N27" s="30">
        <f t="shared" si="2"/>
        <v>31.833333333333336</v>
      </c>
      <c r="O27" s="36">
        <f t="shared" si="3"/>
        <v>0.31833333333333336</v>
      </c>
    </row>
    <row r="28" spans="1:15" x14ac:dyDescent="0.25">
      <c r="A28" s="25" t="s">
        <v>53</v>
      </c>
      <c r="B28" s="27">
        <v>9876543210</v>
      </c>
      <c r="C28" s="25">
        <v>150</v>
      </c>
      <c r="D28" s="32">
        <v>45758</v>
      </c>
      <c r="E28" s="35"/>
      <c r="F28" s="31">
        <v>6000</v>
      </c>
      <c r="G28" s="29">
        <v>79</v>
      </c>
      <c r="H28" s="29">
        <v>5</v>
      </c>
      <c r="I28" s="29">
        <v>26</v>
      </c>
      <c r="J28" s="29">
        <v>36</v>
      </c>
      <c r="K28" s="29">
        <v>54</v>
      </c>
      <c r="L28" s="29">
        <v>99</v>
      </c>
      <c r="M28" s="29">
        <f>SUM(G28:L28)</f>
        <v>299</v>
      </c>
      <c r="N28" s="30">
        <f t="shared" si="2"/>
        <v>49.833333333333336</v>
      </c>
      <c r="O28" s="36">
        <f t="shared" si="3"/>
        <v>0.49833333333333335</v>
      </c>
    </row>
    <row r="29" spans="1:15" x14ac:dyDescent="0.25">
      <c r="A29" s="25" t="s">
        <v>54</v>
      </c>
      <c r="B29" s="27">
        <v>9876543210</v>
      </c>
      <c r="C29" s="25">
        <v>160</v>
      </c>
      <c r="D29" s="32">
        <v>45759</v>
      </c>
      <c r="E29" s="35"/>
      <c r="F29" s="31">
        <v>10000</v>
      </c>
      <c r="G29" s="29">
        <v>89</v>
      </c>
      <c r="H29" s="29">
        <v>70</v>
      </c>
      <c r="I29" s="29">
        <v>24</v>
      </c>
      <c r="J29" s="29">
        <v>30</v>
      </c>
      <c r="K29" s="29">
        <v>70</v>
      </c>
      <c r="L29" s="29">
        <v>48</v>
      </c>
      <c r="M29" s="29">
        <f>SUM(G29:L29)</f>
        <v>331</v>
      </c>
      <c r="N29" s="30">
        <f t="shared" si="2"/>
        <v>55.166666666666664</v>
      </c>
      <c r="O29" s="36">
        <f t="shared" si="3"/>
        <v>0.55166666666666664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2026-03-07T06:36:21Z</dcterms:created>
  <dcterms:modified xsi:type="dcterms:W3CDTF">2026-03-07T09:29:28Z</dcterms:modified>
</cp:coreProperties>
</file>