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atch Excel 9301130\"/>
    </mc:Choice>
  </mc:AlternateContent>
  <xr:revisionPtr revIDLastSave="0" documentId="8_{0F5DD935-7F53-4FA9-B9E1-AC9EB44E5BB9}" xr6:coauthVersionLast="47" xr6:coauthVersionMax="47" xr10:uidLastSave="{00000000-0000-0000-0000-000000000000}"/>
  <bookViews>
    <workbookView xWindow="-120" yWindow="-120" windowWidth="21840" windowHeight="13140" activeTab="1" xr2:uid="{528BE735-BC0C-48B5-9986-D055E14824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2" i="2"/>
  <c r="N3" i="2"/>
  <c r="N4" i="2"/>
  <c r="N5" i="2"/>
  <c r="N6" i="2"/>
  <c r="N7" i="2"/>
  <c r="N8" i="2"/>
  <c r="N9" i="2"/>
  <c r="N10" i="2"/>
  <c r="J3" i="2"/>
  <c r="J4" i="2"/>
  <c r="J5" i="2"/>
  <c r="J6" i="2"/>
  <c r="J7" i="2"/>
  <c r="J8" i="2"/>
  <c r="J9" i="2"/>
  <c r="J10" i="2"/>
  <c r="J2" i="2"/>
  <c r="N2" i="2" s="1"/>
  <c r="M3" i="2"/>
  <c r="M4" i="2"/>
  <c r="M5" i="2"/>
  <c r="M6" i="2"/>
  <c r="M7" i="2"/>
  <c r="M8" i="2"/>
  <c r="M9" i="2"/>
  <c r="M10" i="2"/>
  <c r="M2" i="2"/>
  <c r="L3" i="2"/>
  <c r="L4" i="2"/>
  <c r="L5" i="2"/>
  <c r="L6" i="2"/>
  <c r="L7" i="2"/>
  <c r="L8" i="2"/>
  <c r="L9" i="2"/>
  <c r="L10" i="2"/>
  <c r="L2" i="2"/>
  <c r="K3" i="2"/>
  <c r="K4" i="2"/>
  <c r="K5" i="2"/>
  <c r="K6" i="2"/>
  <c r="K7" i="2"/>
  <c r="K8" i="2"/>
  <c r="K9" i="2"/>
  <c r="K10" i="2"/>
  <c r="K2" i="2"/>
  <c r="I2" i="2"/>
  <c r="I3" i="2"/>
  <c r="I4" i="2"/>
  <c r="I5" i="2"/>
  <c r="I6" i="2"/>
  <c r="I7" i="2"/>
  <c r="I8" i="2"/>
  <c r="I9" i="2"/>
  <c r="I10" i="2"/>
  <c r="G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I19" i="1"/>
  <c r="I16" i="1"/>
</calcChain>
</file>

<file path=xl/sharedStrings.xml><?xml version="1.0" encoding="utf-8"?>
<sst xmlns="http://schemas.openxmlformats.org/spreadsheetml/2006/main" count="35" uniqueCount="31">
  <si>
    <t>Name</t>
  </si>
  <si>
    <t>Contact No</t>
  </si>
  <si>
    <t>Fees</t>
  </si>
  <si>
    <t>DOJ</t>
  </si>
  <si>
    <t>Mark</t>
  </si>
  <si>
    <t>Name 1</t>
  </si>
  <si>
    <t>Name 5</t>
  </si>
  <si>
    <t>Name 6</t>
  </si>
  <si>
    <t>out of</t>
  </si>
  <si>
    <t>General</t>
  </si>
  <si>
    <t>Percentage</t>
  </si>
  <si>
    <t>Sub 1</t>
  </si>
  <si>
    <t>Sub 2</t>
  </si>
  <si>
    <t>Sub 3</t>
  </si>
  <si>
    <t>Sub 4</t>
  </si>
  <si>
    <t>Sub 5</t>
  </si>
  <si>
    <t>Sub 6</t>
  </si>
  <si>
    <t>Sub 7</t>
  </si>
  <si>
    <t>Name 2</t>
  </si>
  <si>
    <t>Name 3</t>
  </si>
  <si>
    <t>Name 4</t>
  </si>
  <si>
    <t>Name 7</t>
  </si>
  <si>
    <t>Name 8</t>
  </si>
  <si>
    <t>Name 9</t>
  </si>
  <si>
    <t>Total</t>
  </si>
  <si>
    <t>Max</t>
  </si>
  <si>
    <t>Min</t>
  </si>
  <si>
    <t>Count</t>
  </si>
  <si>
    <t>IF</t>
  </si>
  <si>
    <t>Nested IF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</si>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</sst>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&quot;₹&quot;\ #,##0.00"/>
    <numFmt numFmtId="181" formatCode="dddd/dd/mmmm/yy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quotePrefix="1"/>
    <xf numFmtId="0" fontId="0" fillId="0" borderId="0" xfId="0" quotePrefix="1" applyNumberFormat="1"/>
    <xf numFmtId="13" fontId="0" fillId="0" borderId="0" xfId="0" applyNumberFormat="1"/>
    <xf numFmtId="0" fontId="0" fillId="0" borderId="2" xfId="0" applyFill="1" applyBorder="1"/>
    <xf numFmtId="10" fontId="0" fillId="0" borderId="0" xfId="0" applyNumberFormat="1"/>
    <xf numFmtId="2" fontId="0" fillId="0" borderId="0" xfId="0" applyNumberFormat="1"/>
    <xf numFmtId="175" fontId="0" fillId="0" borderId="1" xfId="0" applyNumberFormat="1" applyBorder="1"/>
    <xf numFmtId="181" fontId="0" fillId="0" borderId="1" xfId="0" applyNumberFormat="1" applyBorder="1"/>
    <xf numFmtId="18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247650</xdr:colOff>
      <xdr:row>1</xdr:row>
      <xdr:rowOff>161925</xdr:rowOff>
    </xdr:from>
    <xdr:to>
      <xdr:col>22</xdr:col>
      <xdr:colOff>285750</xdr:colOff>
      <xdr:row>22</xdr:row>
      <xdr:rowOff>7801</xdr:rowOff>
    </xdr:to>
    <xdr:pic>
      <xdr:nvPicPr>
        <xdr:cNvPr id="2" name="Picture 1" descr="How to Create Marksheet in Excel? (IF, VLOOKUP, RANK, OR, AND)">
          <a:extLst>
            <a:ext uri="{FF2B5EF4-FFF2-40B4-BE49-F238E27FC236}">
              <a16:creationId xmlns:a16="http://schemas.microsoft.com/office/drawing/2014/main" id="{32816799-43DE-B28A-BA48-764261A3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352425"/>
          <a:ext cx="4305300" cy="384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5222-E978-4D6F-B700-1D84F18D929A}">
  <dimension ref="A1:J19"/>
  <sheetViews>
    <sheetView workbookViewId="0">
      <selection activeCell="G18" sqref="G18"/>
    </sheetView>
  </sheetViews>
  <sheetFormatPr defaultRowHeight="15" x14ac:dyDescent="0.25"/>
  <cols>
    <col min="1" max="1" width="18.42578125" customWidth="1"/>
    <col min="2" max="2" width="19.5703125" customWidth="1"/>
    <col min="3" max="3" width="18.85546875" customWidth="1"/>
    <col min="4" max="4" width="29.42578125" style="11" customWidth="1"/>
    <col min="7" max="7" width="9" customWidth="1"/>
    <col min="8" max="8" width="12.85546875" customWidth="1"/>
    <col min="9" max="9" width="28.7109375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6" t="s">
        <v>8</v>
      </c>
      <c r="G1" s="6" t="s">
        <v>9</v>
      </c>
      <c r="H1" s="6" t="s">
        <v>10</v>
      </c>
    </row>
    <row r="2" spans="1:10" x14ac:dyDescent="0.25">
      <c r="A2" s="2" t="s">
        <v>5</v>
      </c>
      <c r="B2" s="2">
        <v>987654310</v>
      </c>
      <c r="C2" s="9">
        <v>75000</v>
      </c>
      <c r="D2" s="10">
        <v>46479</v>
      </c>
      <c r="E2" s="1">
        <v>350</v>
      </c>
      <c r="F2">
        <v>600</v>
      </c>
      <c r="G2" s="8">
        <f>E2/F2*100</f>
        <v>58.333333333333336</v>
      </c>
      <c r="H2" s="7">
        <f>E2/F2</f>
        <v>0.58333333333333337</v>
      </c>
    </row>
    <row r="3" spans="1:10" x14ac:dyDescent="0.25">
      <c r="A3" s="2" t="s">
        <v>6</v>
      </c>
      <c r="B3" s="2"/>
      <c r="C3" s="9">
        <v>220000</v>
      </c>
      <c r="D3" s="10"/>
      <c r="E3" s="1">
        <v>450</v>
      </c>
      <c r="F3">
        <v>600</v>
      </c>
      <c r="G3" s="8">
        <f t="shared" ref="G3:G11" si="0">E3/F3*100</f>
        <v>75</v>
      </c>
      <c r="H3" s="7">
        <f t="shared" ref="H3:H11" si="1">E3/F3</f>
        <v>0.75</v>
      </c>
      <c r="J3">
        <v>5</v>
      </c>
    </row>
    <row r="4" spans="1:10" x14ac:dyDescent="0.25">
      <c r="A4" s="2" t="s">
        <v>7</v>
      </c>
      <c r="B4" s="2"/>
      <c r="C4" s="9"/>
      <c r="D4" s="10"/>
      <c r="E4" s="1">
        <v>375</v>
      </c>
      <c r="F4">
        <v>600</v>
      </c>
      <c r="G4" s="8">
        <f t="shared" si="0"/>
        <v>62.5</v>
      </c>
      <c r="H4" s="7">
        <f t="shared" si="1"/>
        <v>0.625</v>
      </c>
      <c r="J4">
        <v>4</v>
      </c>
    </row>
    <row r="5" spans="1:10" x14ac:dyDescent="0.25">
      <c r="A5" s="2"/>
      <c r="B5" s="2"/>
      <c r="C5" s="9"/>
      <c r="D5" s="10"/>
      <c r="E5" s="1">
        <v>250</v>
      </c>
      <c r="F5">
        <v>600</v>
      </c>
      <c r="G5" s="8">
        <f t="shared" si="0"/>
        <v>41.666666666666671</v>
      </c>
      <c r="H5" s="7">
        <f t="shared" si="1"/>
        <v>0.41666666666666669</v>
      </c>
      <c r="I5">
        <v>5</v>
      </c>
      <c r="J5" s="4">
        <v>5</v>
      </c>
    </row>
    <row r="6" spans="1:10" x14ac:dyDescent="0.25">
      <c r="A6" s="2"/>
      <c r="B6" s="2"/>
      <c r="C6" s="9"/>
      <c r="D6" s="10"/>
      <c r="E6" s="1">
        <v>275</v>
      </c>
      <c r="F6">
        <v>600</v>
      </c>
      <c r="G6" s="8">
        <f t="shared" si="0"/>
        <v>45.833333333333329</v>
      </c>
      <c r="H6" s="7">
        <f t="shared" si="1"/>
        <v>0.45833333333333331</v>
      </c>
    </row>
    <row r="7" spans="1:10" x14ac:dyDescent="0.25">
      <c r="A7" s="2"/>
      <c r="B7" s="2"/>
      <c r="C7" s="9"/>
      <c r="D7" s="10"/>
      <c r="E7" s="1">
        <v>570</v>
      </c>
      <c r="F7">
        <v>600</v>
      </c>
      <c r="G7" s="8">
        <f t="shared" si="0"/>
        <v>95</v>
      </c>
      <c r="H7" s="7">
        <f t="shared" si="1"/>
        <v>0.95</v>
      </c>
    </row>
    <row r="8" spans="1:10" x14ac:dyDescent="0.25">
      <c r="A8" s="2"/>
      <c r="B8" s="2"/>
      <c r="C8" s="9"/>
      <c r="D8" s="10"/>
      <c r="E8" s="1">
        <v>375</v>
      </c>
      <c r="F8">
        <v>600</v>
      </c>
      <c r="G8" s="8">
        <f t="shared" si="0"/>
        <v>62.5</v>
      </c>
      <c r="H8" s="7">
        <f t="shared" si="1"/>
        <v>0.625</v>
      </c>
    </row>
    <row r="9" spans="1:10" x14ac:dyDescent="0.25">
      <c r="A9" s="2"/>
      <c r="B9" s="2"/>
      <c r="C9" s="9"/>
      <c r="D9" s="10"/>
      <c r="E9" s="1">
        <v>389</v>
      </c>
      <c r="F9">
        <v>600</v>
      </c>
      <c r="G9" s="8">
        <f t="shared" si="0"/>
        <v>64.833333333333329</v>
      </c>
      <c r="H9" s="7">
        <f t="shared" si="1"/>
        <v>0.64833333333333332</v>
      </c>
    </row>
    <row r="10" spans="1:10" x14ac:dyDescent="0.25">
      <c r="A10" s="2"/>
      <c r="B10" s="2"/>
      <c r="C10" s="9"/>
      <c r="D10" s="10"/>
      <c r="E10" s="1">
        <v>487</v>
      </c>
      <c r="F10">
        <v>600</v>
      </c>
      <c r="G10" s="8">
        <f t="shared" si="0"/>
        <v>81.166666666666671</v>
      </c>
      <c r="H10" s="7">
        <f t="shared" si="1"/>
        <v>0.81166666666666665</v>
      </c>
    </row>
    <row r="11" spans="1:10" x14ac:dyDescent="0.25">
      <c r="A11" s="2"/>
      <c r="B11" s="2"/>
      <c r="C11" s="9"/>
      <c r="D11" s="10"/>
      <c r="E11" s="1">
        <v>489</v>
      </c>
      <c r="F11">
        <v>600</v>
      </c>
      <c r="G11" s="8">
        <f t="shared" si="0"/>
        <v>81.5</v>
      </c>
      <c r="H11" s="7">
        <f t="shared" si="1"/>
        <v>0.81499999999999995</v>
      </c>
      <c r="I11">
        <v>46</v>
      </c>
    </row>
    <row r="12" spans="1:10" x14ac:dyDescent="0.25">
      <c r="I12" s="3"/>
    </row>
    <row r="16" spans="1:10" x14ac:dyDescent="0.25">
      <c r="I16">
        <f>3/10</f>
        <v>0.3</v>
      </c>
    </row>
    <row r="19" spans="9:9" x14ac:dyDescent="0.25">
      <c r="I19" s="5">
        <f>25/70</f>
        <v>0.35714285714285715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A5EE-5059-49AD-80C4-4A0246C1F2FE}">
  <dimension ref="A1:O10"/>
  <sheetViews>
    <sheetView tabSelected="1" zoomScale="130" zoomScaleNormal="130" workbookViewId="0">
      <selection activeCell="O2" sqref="O2:O10"/>
    </sheetView>
  </sheetViews>
  <sheetFormatPr defaultRowHeight="15" x14ac:dyDescent="0.25"/>
  <cols>
    <col min="14" max="14" width="12" bestFit="1" customWidth="1"/>
  </cols>
  <sheetData>
    <row r="1" spans="1:15" x14ac:dyDescent="0.25">
      <c r="A1" s="12" t="s">
        <v>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24</v>
      </c>
      <c r="J1" s="13" t="s">
        <v>30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</row>
    <row r="2" spans="1:15" x14ac:dyDescent="0.25">
      <c r="A2" s="1" t="s">
        <v>5</v>
      </c>
      <c r="B2" s="1">
        <v>23</v>
      </c>
      <c r="C2" s="1">
        <v>51</v>
      </c>
      <c r="D2" s="1">
        <v>41</v>
      </c>
      <c r="E2" s="1">
        <v>45</v>
      </c>
      <c r="F2" s="1">
        <v>45</v>
      </c>
      <c r="G2" s="1">
        <v>15</v>
      </c>
      <c r="H2" s="1">
        <v>10</v>
      </c>
      <c r="I2" s="1">
        <f>SUM(B2:H2)</f>
        <v>230</v>
      </c>
      <c r="J2" s="14">
        <f>AVERAGE(B2:H2)</f>
        <v>32.857142857142854</v>
      </c>
      <c r="K2">
        <f>MAX(B2:H2)</f>
        <v>51</v>
      </c>
      <c r="L2">
        <f>MIN(B2:H2)</f>
        <v>10</v>
      </c>
      <c r="M2">
        <f>COUNT(B2:H2)</f>
        <v>7</v>
      </c>
      <c r="N2" t="str">
        <f>IF(J2&gt;=35,"Pass","Fail")</f>
        <v>Fail</v>
      </c>
      <c r="O2" t="str">
        <f>IF(J2&gt;=60,"1st",IF(J2&gt;=50,"2nd",IF(J2&gt;=40,"3rd",IF(J2&gt;=35,"Pass","Fail"))))</f>
        <v>Fail</v>
      </c>
    </row>
    <row r="3" spans="1:15" x14ac:dyDescent="0.25">
      <c r="A3" s="1" t="s">
        <v>18</v>
      </c>
      <c r="B3" s="1">
        <v>61</v>
      </c>
      <c r="C3" s="1">
        <v>60</v>
      </c>
      <c r="D3" s="1">
        <v>9</v>
      </c>
      <c r="E3" s="1">
        <v>64</v>
      </c>
      <c r="F3" s="1">
        <v>59</v>
      </c>
      <c r="G3" s="1">
        <v>3</v>
      </c>
      <c r="H3" s="1">
        <v>51</v>
      </c>
      <c r="I3" s="1">
        <f t="shared" ref="I3:I10" si="0">SUM(B3:H3)</f>
        <v>307</v>
      </c>
      <c r="J3" s="14">
        <f t="shared" ref="J3:J10" si="1">AVERAGE(B3:H3)</f>
        <v>43.857142857142854</v>
      </c>
      <c r="K3">
        <f t="shared" ref="K3:K10" si="2">MAX(B3:H3)</f>
        <v>64</v>
      </c>
      <c r="L3">
        <f t="shared" ref="L3:L10" si="3">MIN(B3:H3)</f>
        <v>3</v>
      </c>
      <c r="M3">
        <f t="shared" ref="M3:M10" si="4">COUNT(B3:H3)</f>
        <v>7</v>
      </c>
      <c r="N3" t="str">
        <f t="shared" ref="N3:N10" si="5">IF(J3&gt;=35,"Pass","Fail")</f>
        <v>Pass</v>
      </c>
      <c r="O3" t="str">
        <f t="shared" ref="O3:O10" si="6">IF(J3&gt;=60,"1st",IF(J3&gt;=50,"2nd",IF(J3&gt;=40,"3rd",IF(J3&gt;=35,"Pass","Fail"))))</f>
        <v>3rd</v>
      </c>
    </row>
    <row r="4" spans="1:15" x14ac:dyDescent="0.25">
      <c r="A4" s="1" t="s">
        <v>19</v>
      </c>
      <c r="B4" s="1">
        <v>48</v>
      </c>
      <c r="C4" s="1">
        <v>56</v>
      </c>
      <c r="D4" s="1">
        <v>65</v>
      </c>
      <c r="E4" s="1">
        <v>62</v>
      </c>
      <c r="F4" s="1">
        <v>71</v>
      </c>
      <c r="G4" s="1">
        <v>69</v>
      </c>
      <c r="H4" s="1">
        <v>75</v>
      </c>
      <c r="I4" s="1">
        <f t="shared" si="0"/>
        <v>446</v>
      </c>
      <c r="J4" s="14">
        <f t="shared" si="1"/>
        <v>63.714285714285715</v>
      </c>
      <c r="K4">
        <f t="shared" si="2"/>
        <v>75</v>
      </c>
      <c r="L4">
        <f t="shared" si="3"/>
        <v>48</v>
      </c>
      <c r="M4">
        <f t="shared" si="4"/>
        <v>7</v>
      </c>
      <c r="N4" t="str">
        <f t="shared" si="5"/>
        <v>Pass</v>
      </c>
      <c r="O4" t="str">
        <f t="shared" si="6"/>
        <v>1st</v>
      </c>
    </row>
    <row r="5" spans="1:15" x14ac:dyDescent="0.25">
      <c r="A5" s="1" t="s">
        <v>20</v>
      </c>
      <c r="B5" s="1">
        <v>96</v>
      </c>
      <c r="C5" s="1">
        <v>95</v>
      </c>
      <c r="D5" s="1">
        <v>47</v>
      </c>
      <c r="E5" s="1">
        <v>27</v>
      </c>
      <c r="F5" s="1">
        <v>81</v>
      </c>
      <c r="G5" s="1">
        <v>20</v>
      </c>
      <c r="H5" s="1">
        <v>29</v>
      </c>
      <c r="I5" s="1">
        <f t="shared" si="0"/>
        <v>395</v>
      </c>
      <c r="J5" s="14">
        <f t="shared" si="1"/>
        <v>56.428571428571431</v>
      </c>
      <c r="K5">
        <f t="shared" si="2"/>
        <v>96</v>
      </c>
      <c r="L5">
        <f t="shared" si="3"/>
        <v>20</v>
      </c>
      <c r="M5">
        <f t="shared" si="4"/>
        <v>7</v>
      </c>
      <c r="N5" t="str">
        <f t="shared" si="5"/>
        <v>Pass</v>
      </c>
      <c r="O5" t="str">
        <f t="shared" si="6"/>
        <v>2nd</v>
      </c>
    </row>
    <row r="6" spans="1:15" x14ac:dyDescent="0.25">
      <c r="A6" s="1" t="s">
        <v>6</v>
      </c>
      <c r="B6" s="1">
        <v>40</v>
      </c>
      <c r="C6" s="1">
        <v>11</v>
      </c>
      <c r="D6" s="1">
        <v>70</v>
      </c>
      <c r="E6" s="1">
        <v>58</v>
      </c>
      <c r="F6" s="1">
        <v>59</v>
      </c>
      <c r="G6" s="1">
        <v>10</v>
      </c>
      <c r="H6" s="1">
        <v>58</v>
      </c>
      <c r="I6" s="1">
        <f t="shared" si="0"/>
        <v>306</v>
      </c>
      <c r="J6" s="14">
        <f t="shared" si="1"/>
        <v>43.714285714285715</v>
      </c>
      <c r="K6">
        <f t="shared" si="2"/>
        <v>70</v>
      </c>
      <c r="L6">
        <f t="shared" si="3"/>
        <v>10</v>
      </c>
      <c r="M6">
        <f t="shared" si="4"/>
        <v>7</v>
      </c>
      <c r="N6" t="str">
        <f t="shared" si="5"/>
        <v>Pass</v>
      </c>
      <c r="O6" t="str">
        <f t="shared" si="6"/>
        <v>3rd</v>
      </c>
    </row>
    <row r="7" spans="1:15" x14ac:dyDescent="0.25">
      <c r="A7" s="1" t="s">
        <v>7</v>
      </c>
      <c r="B7" s="1">
        <v>89</v>
      </c>
      <c r="C7" s="1">
        <v>20</v>
      </c>
      <c r="D7" s="1">
        <v>92</v>
      </c>
      <c r="E7" s="1">
        <v>83</v>
      </c>
      <c r="F7" s="1">
        <v>76</v>
      </c>
      <c r="G7" s="1">
        <v>28</v>
      </c>
      <c r="H7" s="1">
        <v>73</v>
      </c>
      <c r="I7" s="1">
        <f t="shared" si="0"/>
        <v>461</v>
      </c>
      <c r="J7" s="14">
        <f t="shared" si="1"/>
        <v>65.857142857142861</v>
      </c>
      <c r="K7">
        <f t="shared" si="2"/>
        <v>92</v>
      </c>
      <c r="L7">
        <f t="shared" si="3"/>
        <v>20</v>
      </c>
      <c r="M7">
        <f t="shared" si="4"/>
        <v>7</v>
      </c>
      <c r="N7" t="str">
        <f t="shared" si="5"/>
        <v>Pass</v>
      </c>
      <c r="O7" t="str">
        <f t="shared" si="6"/>
        <v>1st</v>
      </c>
    </row>
    <row r="8" spans="1:15" x14ac:dyDescent="0.25">
      <c r="A8" s="1" t="s">
        <v>21</v>
      </c>
      <c r="B8" s="1">
        <v>22</v>
      </c>
      <c r="C8" s="1">
        <v>79</v>
      </c>
      <c r="D8" s="1">
        <v>83</v>
      </c>
      <c r="E8" s="1">
        <v>84</v>
      </c>
      <c r="F8" s="1">
        <v>91</v>
      </c>
      <c r="G8" s="1">
        <v>92</v>
      </c>
      <c r="H8" s="1">
        <v>14</v>
      </c>
      <c r="I8" s="1">
        <f t="shared" si="0"/>
        <v>465</v>
      </c>
      <c r="J8" s="14">
        <f t="shared" si="1"/>
        <v>66.428571428571431</v>
      </c>
      <c r="K8">
        <f t="shared" si="2"/>
        <v>92</v>
      </c>
      <c r="L8">
        <f t="shared" si="3"/>
        <v>14</v>
      </c>
      <c r="M8">
        <f t="shared" si="4"/>
        <v>7</v>
      </c>
      <c r="N8" t="str">
        <f t="shared" si="5"/>
        <v>Pass</v>
      </c>
      <c r="O8" t="str">
        <f t="shared" si="6"/>
        <v>1st</v>
      </c>
    </row>
    <row r="9" spans="1:15" x14ac:dyDescent="0.25">
      <c r="A9" s="1" t="s">
        <v>22</v>
      </c>
      <c r="B9" s="1">
        <v>92</v>
      </c>
      <c r="C9" s="1">
        <v>43</v>
      </c>
      <c r="D9" s="1">
        <v>54</v>
      </c>
      <c r="E9" s="1">
        <v>52</v>
      </c>
      <c r="F9" s="1">
        <v>69</v>
      </c>
      <c r="G9" s="1">
        <v>39</v>
      </c>
      <c r="H9" s="1">
        <v>98</v>
      </c>
      <c r="I9" s="1">
        <f t="shared" si="0"/>
        <v>447</v>
      </c>
      <c r="J9" s="14">
        <f t="shared" si="1"/>
        <v>63.857142857142854</v>
      </c>
      <c r="K9">
        <f t="shared" si="2"/>
        <v>98</v>
      </c>
      <c r="L9">
        <f t="shared" si="3"/>
        <v>39</v>
      </c>
      <c r="M9">
        <f t="shared" si="4"/>
        <v>7</v>
      </c>
      <c r="N9" t="str">
        <f t="shared" si="5"/>
        <v>Pass</v>
      </c>
      <c r="O9" t="str">
        <f t="shared" si="6"/>
        <v>1st</v>
      </c>
    </row>
    <row r="10" spans="1:15" x14ac:dyDescent="0.25">
      <c r="A10" s="1" t="s">
        <v>23</v>
      </c>
      <c r="B10" s="1">
        <v>34</v>
      </c>
      <c r="C10" s="1">
        <v>44</v>
      </c>
      <c r="D10" s="1">
        <v>83</v>
      </c>
      <c r="E10" s="1">
        <v>74</v>
      </c>
      <c r="F10" s="1">
        <v>94</v>
      </c>
      <c r="G10" s="1">
        <v>10</v>
      </c>
      <c r="H10" s="1">
        <v>75</v>
      </c>
      <c r="I10" s="1">
        <f t="shared" si="0"/>
        <v>414</v>
      </c>
      <c r="J10" s="14">
        <f t="shared" si="1"/>
        <v>59.142857142857146</v>
      </c>
      <c r="K10">
        <f t="shared" si="2"/>
        <v>94</v>
      </c>
      <c r="L10">
        <f t="shared" si="3"/>
        <v>10</v>
      </c>
      <c r="M10">
        <f t="shared" si="4"/>
        <v>7</v>
      </c>
      <c r="N10" t="str">
        <f t="shared" si="5"/>
        <v>Pass</v>
      </c>
      <c r="O10" t="str">
        <f t="shared" si="6"/>
        <v>2nd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2026-06-04T04:23:44Z</dcterms:created>
  <dcterms:modified xsi:type="dcterms:W3CDTF">2026-06-04T05:30:20Z</dcterms:modified>
</cp:coreProperties>
</file>